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120"/>
  </bookViews>
  <sheets>
    <sheet name="Dashboard" sheetId="1" r:id="rId1"/>
    <sheet name="Pivot_Tables" sheetId="6" r:id="rId2"/>
    <sheet name="Cleaned_Data" sheetId="4" r:id="rId3"/>
  </sheets>
  <definedNames>
    <definedName name="_xlnm._FilterDatabase" localSheetId="2" hidden="1">Cleaned_Data!$A$1:$X$151</definedName>
    <definedName name="Slicer_Region">#N/A</definedName>
    <definedName name="Slicer_Segment">#N/A</definedName>
    <definedName name="Slicer_Categor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<sst xmlns="http://schemas.openxmlformats.org/spreadsheetml/2006/main" count="2022" uniqueCount="722">
  <si>
    <t>RETAIL PERFORMANCE MANAGEMENT DASHBOARD</t>
  </si>
  <si>
    <t>Sample - Superstore 2019 | Management Overview</t>
  </si>
  <si>
    <t>TOTAL SALES</t>
  </si>
  <si>
    <t>TOTAL PROFIT</t>
  </si>
  <si>
    <t>TOP REGION BY SALES</t>
  </si>
  <si>
    <t>Region</t>
  </si>
  <si>
    <t>Sum of Sales</t>
  </si>
  <si>
    <t>Sum of Profit</t>
  </si>
  <si>
    <t>Category</t>
  </si>
  <si>
    <t>Segment</t>
  </si>
  <si>
    <t>Count of Customer ID</t>
  </si>
  <si>
    <t>East</t>
  </si>
  <si>
    <t>Furniture</t>
  </si>
  <si>
    <t>Consumer</t>
  </si>
  <si>
    <t>South</t>
  </si>
  <si>
    <t>Office Supplies</t>
  </si>
  <si>
    <t>Corporate</t>
  </si>
  <si>
    <t>West</t>
  </si>
  <si>
    <t>Technology</t>
  </si>
  <si>
    <t>Home Office</t>
  </si>
  <si>
    <t>Grand Total</t>
  </si>
  <si>
    <t>Order Date</t>
  </si>
  <si>
    <t>Sales Category</t>
  </si>
  <si>
    <t>Jan</t>
  </si>
  <si>
    <t>High Sales</t>
  </si>
  <si>
    <t>Feb</t>
  </si>
  <si>
    <t>Standard Sales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</si>
  <si>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</si>
  <si>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</si>
  <si>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</si>
  <si>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</si>
  <si>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</si>
  <si>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</si>
  <si>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</si>
  <si>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</si>
  <si>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</si>
  <si>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</si>
  <si>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 ID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</si>
  <si>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</si>
  <si>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</si>
  <si>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</si>
  <si>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</si>
  <si>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</si>
  <si>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</si>
  <si>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</si>
  <si>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</si>
  <si>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</si>
  <si>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</si>
  <si>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</si>
  <si>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</si>
  <si>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</si>
  <si>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</si>
  <si>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</si>
  <si>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</si>
  <si>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Month</t>
  </si>
  <si>
    <t>Quarter</t>
  </si>
  <si>
    <t>CA-2019-100001</t>
  </si>
  <si>
    <t>Standard Class</t>
  </si>
  <si>
    <t>CG-46048</t>
  </si>
  <si>
    <t>Customer 16</t>
  </si>
  <si>
    <t>United States</t>
  </si>
  <si>
    <t>California City</t>
  </si>
  <si>
    <t>California</t>
  </si>
  <si>
    <t>OFF-PAP-9935</t>
  </si>
  <si>
    <t>Paper</t>
  </si>
  <si>
    <t>Paper Item 12</t>
  </si>
  <si>
    <t>CA-2019-100002</t>
  </si>
  <si>
    <t>CG-83563</t>
  </si>
  <si>
    <t>Customer 13</t>
  </si>
  <si>
    <t>Texas City</t>
  </si>
  <si>
    <t>Texas</t>
  </si>
  <si>
    <t>TEC-ACC-5557</t>
  </si>
  <si>
    <t>Accessories</t>
  </si>
  <si>
    <t>Accessories Item 1</t>
  </si>
  <si>
    <t>CA-2019-100003</t>
  </si>
  <si>
    <t>First Class</t>
  </si>
  <si>
    <t>CG-23396</t>
  </si>
  <si>
    <t>Customer 6</t>
  </si>
  <si>
    <t>New York City</t>
  </si>
  <si>
    <t>New York</t>
  </si>
  <si>
    <t>FUR-TAB-5333</t>
  </si>
  <si>
    <t>Tables</t>
  </si>
  <si>
    <t>Tables Item 6</t>
  </si>
  <si>
    <t>CA-2019-100004</t>
  </si>
  <si>
    <t>CG-92397</t>
  </si>
  <si>
    <t>Customer 40</t>
  </si>
  <si>
    <t>OFF-PAP-1750</t>
  </si>
  <si>
    <t>Paper Item 85</t>
  </si>
  <si>
    <t>CA-2019-100005</t>
  </si>
  <si>
    <t>CG-69429</t>
  </si>
  <si>
    <t>Customer 41</t>
  </si>
  <si>
    <t>FUR-TAB-4432</t>
  </si>
  <si>
    <t>Tables Item 86</t>
  </si>
  <si>
    <t>CA-2019-100006</t>
  </si>
  <si>
    <t>Same Day</t>
  </si>
  <si>
    <t>CG-59735</t>
  </si>
  <si>
    <t>Customer 18</t>
  </si>
  <si>
    <t>OFF-ART-1916</t>
  </si>
  <si>
    <t>Art</t>
  </si>
  <si>
    <t>Art Item 30</t>
  </si>
  <si>
    <t>CA-2019-100007</t>
  </si>
  <si>
    <t>CG-37869</t>
  </si>
  <si>
    <t>Customer 42</t>
  </si>
  <si>
    <t>OFF-LAB-3340</t>
  </si>
  <si>
    <t>Labels</t>
  </si>
  <si>
    <t>Labels Item 34</t>
  </si>
  <si>
    <t>CA-2019-100008</t>
  </si>
  <si>
    <t>CG-57447</t>
  </si>
  <si>
    <t>Customer 15</t>
  </si>
  <si>
    <t>TEC-PHO-2796</t>
  </si>
  <si>
    <t>Phones</t>
  </si>
  <si>
    <t>Phones Item 20</t>
  </si>
  <si>
    <t>CA-2019-100009</t>
  </si>
  <si>
    <t>CG-82512</t>
  </si>
  <si>
    <t>Customer 1</t>
  </si>
  <si>
    <t>OFF-STO-5371</t>
  </si>
  <si>
    <t>Storage</t>
  </si>
  <si>
    <t>Storage Item 99</t>
  </si>
  <si>
    <t>CA-2019-100010</t>
  </si>
  <si>
    <t>CG-75612</t>
  </si>
  <si>
    <t>Customer 49</t>
  </si>
  <si>
    <t>OFF-ART-9317</t>
  </si>
  <si>
    <t>Art Item 78</t>
  </si>
  <si>
    <t>CA-2019-100011</t>
  </si>
  <si>
    <t>CG-74042</t>
  </si>
  <si>
    <t>Customer 2</t>
  </si>
  <si>
    <t>Illinois City</t>
  </si>
  <si>
    <t>Illinois</t>
  </si>
  <si>
    <t>Central</t>
  </si>
  <si>
    <t>FUR-BOO-1949</t>
  </si>
  <si>
    <t>Bookcases</t>
  </si>
  <si>
    <t>Bookcases Item 31</t>
  </si>
  <si>
    <t>CA-2019-100012</t>
  </si>
  <si>
    <t>Second Class</t>
  </si>
  <si>
    <t>CG-26828</t>
  </si>
  <si>
    <t>Customer 43</t>
  </si>
  <si>
    <t>FUR-FUR-7932</t>
  </si>
  <si>
    <t>Furnishings</t>
  </si>
  <si>
    <t>Furnishings Item 28</t>
  </si>
  <si>
    <t>CA-2019-100013</t>
  </si>
  <si>
    <t>CG-77839</t>
  </si>
  <si>
    <t>Customer 29</t>
  </si>
  <si>
    <t>TEC-PHO-6539</t>
  </si>
  <si>
    <t>Phones Item 3</t>
  </si>
  <si>
    <t>CA-2019-100014</t>
  </si>
  <si>
    <t>CG-18834</t>
  </si>
  <si>
    <t>Customer 3</t>
  </si>
  <si>
    <t>OFF-BIN-5562</t>
  </si>
  <si>
    <t>Binders</t>
  </si>
  <si>
    <t>Binders Item 86</t>
  </si>
  <si>
    <t>CA-2019-100015</t>
  </si>
  <si>
    <t>CG-41850</t>
  </si>
  <si>
    <t>Customer 31</t>
  </si>
  <si>
    <t>TEC-PHO-8062</t>
  </si>
  <si>
    <t>Phones Item 46</t>
  </si>
  <si>
    <t>CA-2019-100016</t>
  </si>
  <si>
    <t>CG-62772</t>
  </si>
  <si>
    <t>Customer 47</t>
  </si>
  <si>
    <t>TEC-CHA-4116</t>
  </si>
  <si>
    <t>Chairs</t>
  </si>
  <si>
    <t>Chairs Item 69</t>
  </si>
  <si>
    <t>CA-2019-100017</t>
  </si>
  <si>
    <t>CG-82132</t>
  </si>
  <si>
    <t>Customer 7</t>
  </si>
  <si>
    <t>TEC-CHA-3724</t>
  </si>
  <si>
    <t>Chairs Item 53</t>
  </si>
  <si>
    <t>CA-2019-100018</t>
  </si>
  <si>
    <t>CG-61173</t>
  </si>
  <si>
    <t>Customer 17</t>
  </si>
  <si>
    <t>FUR-FUR-8973</t>
  </si>
  <si>
    <t>Furnishings Item 20</t>
  </si>
  <si>
    <t>CA-2019-100019</t>
  </si>
  <si>
    <t>CG-17492</t>
  </si>
  <si>
    <t>Customer 4</t>
  </si>
  <si>
    <t>OFF-STO-3579</t>
  </si>
  <si>
    <t>Storage Item 8</t>
  </si>
  <si>
    <t>CA-2019-100020</t>
  </si>
  <si>
    <t>CG-25713</t>
  </si>
  <si>
    <t>Customer 37</t>
  </si>
  <si>
    <t>OFF-PAP-7868</t>
  </si>
  <si>
    <t>CA-2019-100021</t>
  </si>
  <si>
    <t>CG-44814</t>
  </si>
  <si>
    <t>Customer 26</t>
  </si>
  <si>
    <t>FUR-TAB-2188</t>
  </si>
  <si>
    <t>Tables Item 2</t>
  </si>
  <si>
    <t>CA-2019-100022</t>
  </si>
  <si>
    <t>CG-27361</t>
  </si>
  <si>
    <t>Customer 23</t>
  </si>
  <si>
    <t>FUR-TAB-3584</t>
  </si>
  <si>
    <t>Tables Item 57</t>
  </si>
  <si>
    <t>CA-2019-100023</t>
  </si>
  <si>
    <t>CG-27601</t>
  </si>
  <si>
    <t>OFF-STO-3546</t>
  </si>
  <si>
    <t>Storage Item 35</t>
  </si>
  <si>
    <t>CA-2019-100024</t>
  </si>
  <si>
    <t>CG-42914</t>
  </si>
  <si>
    <t>FUR-BOO-1058</t>
  </si>
  <si>
    <t>Bookcases Item 43</t>
  </si>
  <si>
    <t>CA-2019-100025</t>
  </si>
  <si>
    <t>CG-24663</t>
  </si>
  <si>
    <t>Customer 5</t>
  </si>
  <si>
    <t>OFF-PAP-7049</t>
  </si>
  <si>
    <t>Paper Item 75</t>
  </si>
  <si>
    <t>CA-2019-100026</t>
  </si>
  <si>
    <t>CG-37535</t>
  </si>
  <si>
    <t>Customer 44</t>
  </si>
  <si>
    <t>FUR-FUR-7658</t>
  </si>
  <si>
    <t>Furnishings Item 80</t>
  </si>
  <si>
    <t>CA-2019-100027</t>
  </si>
  <si>
    <t>CG-33509</t>
  </si>
  <si>
    <t>Customer 48</t>
  </si>
  <si>
    <t>OFF-BIN-5371</t>
  </si>
  <si>
    <t>Binders Item 21</t>
  </si>
  <si>
    <t>CA-2019-100028</t>
  </si>
  <si>
    <t>CG-70332</t>
  </si>
  <si>
    <t>TEC-PHO-4164</t>
  </si>
  <si>
    <t>Phones Item 52</t>
  </si>
  <si>
    <t>CA-2019-100029</t>
  </si>
  <si>
    <t>CG-13617</t>
  </si>
  <si>
    <t>Customer 8</t>
  </si>
  <si>
    <t>OFF-ART-1626</t>
  </si>
  <si>
    <t>Art Item 14</t>
  </si>
  <si>
    <t>CA-2019-100030</t>
  </si>
  <si>
    <t>CG-85574</t>
  </si>
  <si>
    <t>OFF-LAB-1027</t>
  </si>
  <si>
    <t>Labels Item 67</t>
  </si>
  <si>
    <t>CA-2019-100031</t>
  </si>
  <si>
    <t>CG-96951</t>
  </si>
  <si>
    <t>OFF-ART-7691</t>
  </si>
  <si>
    <t>Art Item 42</t>
  </si>
  <si>
    <t>CA-2019-100032</t>
  </si>
  <si>
    <t>CG-90676</t>
  </si>
  <si>
    <t>OFF-PAP-5978</t>
  </si>
  <si>
    <t>Paper Item 37</t>
  </si>
  <si>
    <t>CA-2019-100033</t>
  </si>
  <si>
    <t>CG-32241</t>
  </si>
  <si>
    <t>OFF-STO-6491</t>
  </si>
  <si>
    <t>Storage Item 12</t>
  </si>
  <si>
    <t>CA-2019-100034</t>
  </si>
  <si>
    <t>CG-16057</t>
  </si>
  <si>
    <t>FUR-TAB-4185</t>
  </si>
  <si>
    <t>Tables Item 92</t>
  </si>
  <si>
    <t>CA-2019-100035</t>
  </si>
  <si>
    <t>CG-65724</t>
  </si>
  <si>
    <t>TEC-CHA-2988</t>
  </si>
  <si>
    <t>Chairs Item 59</t>
  </si>
  <si>
    <t>CA-2019-100036</t>
  </si>
  <si>
    <t>CG-81810</t>
  </si>
  <si>
    <t>FUR-TAB-5050</t>
  </si>
  <si>
    <t>Tables Item 82</t>
  </si>
  <si>
    <t>CA-2019-100037</t>
  </si>
  <si>
    <t>CG-47450</t>
  </si>
  <si>
    <t>FUR-FUR-2320</t>
  </si>
  <si>
    <t>Furnishings Item 18</t>
  </si>
  <si>
    <t>CA-2019-100038</t>
  </si>
  <si>
    <t>CG-53369</t>
  </si>
  <si>
    <t>Customer 35</t>
  </si>
  <si>
    <t>TEC-CHA-7883</t>
  </si>
  <si>
    <t>Chairs Item 50</t>
  </si>
  <si>
    <t>CA-2019-100039</t>
  </si>
  <si>
    <t>CG-10772</t>
  </si>
  <si>
    <t>FUR-FUR-9947</t>
  </si>
  <si>
    <t>Furnishings Item 78</t>
  </si>
  <si>
    <t>CA-2019-100040</t>
  </si>
  <si>
    <t>CG-54057</t>
  </si>
  <si>
    <t>OFF-BIN-8657</t>
  </si>
  <si>
    <t>Binders Item 17</t>
  </si>
  <si>
    <t>CA-2019-100041</t>
  </si>
  <si>
    <t>CG-21003</t>
  </si>
  <si>
    <t>FUR-BOO-1823</t>
  </si>
  <si>
    <t>Bookcases Item 34</t>
  </si>
  <si>
    <t>CA-2019-100042</t>
  </si>
  <si>
    <t>CG-43065</t>
  </si>
  <si>
    <t>OFF-STO-1853</t>
  </si>
  <si>
    <t>Storage Item 45</t>
  </si>
  <si>
    <t>CA-2019-100043</t>
  </si>
  <si>
    <t>CG-91439</t>
  </si>
  <si>
    <t>Customer 10</t>
  </si>
  <si>
    <t>FUR-FUR-2874</t>
  </si>
  <si>
    <t>Furnishings Item 73</t>
  </si>
  <si>
    <t>CA-2019-100044</t>
  </si>
  <si>
    <t>CG-31465</t>
  </si>
  <si>
    <t>Customer 20</t>
  </si>
  <si>
    <t>FUR-FUR-7149</t>
  </si>
  <si>
    <t>Furnishings Item 51</t>
  </si>
  <si>
    <t>CA-2019-100045</t>
  </si>
  <si>
    <t>CG-49529</t>
  </si>
  <si>
    <t>OFF-PAP-6688</t>
  </si>
  <si>
    <t>Paper Item 69</t>
  </si>
  <si>
    <t>CA-2019-100046</t>
  </si>
  <si>
    <t>CG-74251</t>
  </si>
  <si>
    <t>OFF-LAB-3506</t>
  </si>
  <si>
    <t>Labels Item 56</t>
  </si>
  <si>
    <t>CA-2019-100047</t>
  </si>
  <si>
    <t>CG-67091</t>
  </si>
  <si>
    <t>FUR-BOO-2419</t>
  </si>
  <si>
    <t>Bookcases Item 36</t>
  </si>
  <si>
    <t>CA-2019-100048</t>
  </si>
  <si>
    <t>CG-13761</t>
  </si>
  <si>
    <t>Customer 32</t>
  </si>
  <si>
    <t>FUR-BOO-6813</t>
  </si>
  <si>
    <t>CA-2019-100049</t>
  </si>
  <si>
    <t>CG-41635</t>
  </si>
  <si>
    <t>OFF-BIN-8800</t>
  </si>
  <si>
    <t>Binders Item 83</t>
  </si>
  <si>
    <t>CA-2019-100050</t>
  </si>
  <si>
    <t>CG-50135</t>
  </si>
  <si>
    <t>FUR-FUR-9698</t>
  </si>
  <si>
    <t>Furnishings Item 45</t>
  </si>
  <si>
    <t>CA-2019-100051</t>
  </si>
  <si>
    <t>CG-42951</t>
  </si>
  <si>
    <t>FUR-BOO-9779</t>
  </si>
  <si>
    <t>Bookcases Item 98</t>
  </si>
  <si>
    <t>CA-2019-100052</t>
  </si>
  <si>
    <t>CG-23176</t>
  </si>
  <si>
    <t>FUR-BOO-5952</t>
  </si>
  <si>
    <t>Bookcases Item 2</t>
  </si>
  <si>
    <t>CA-2019-100053</t>
  </si>
  <si>
    <t>CG-26551</t>
  </si>
  <si>
    <t>TEC-MAC-8690</t>
  </si>
  <si>
    <t>Machines</t>
  </si>
  <si>
    <t>Machines Item 62</t>
  </si>
  <si>
    <t>CA-2019-100054</t>
  </si>
  <si>
    <t>CG-62521</t>
  </si>
  <si>
    <t>TEC-CHA-5978</t>
  </si>
  <si>
    <t>Chairs Item 11</t>
  </si>
  <si>
    <t>CA-2019-100055</t>
  </si>
  <si>
    <t>CG-69049</t>
  </si>
  <si>
    <t>FUR-FUR-1986</t>
  </si>
  <si>
    <t>Furnishings Item 79</t>
  </si>
  <si>
    <t>CA-2019-100056</t>
  </si>
  <si>
    <t>CG-41439</t>
  </si>
  <si>
    <t>Customer 12</t>
  </si>
  <si>
    <t>TEC-PHO-7693</t>
  </si>
  <si>
    <t>Phones Item 58</t>
  </si>
  <si>
    <t>CA-2019-100057</t>
  </si>
  <si>
    <t>CG-19329</t>
  </si>
  <si>
    <t>OFF-STO-4241</t>
  </si>
  <si>
    <t>Storage Item 55</t>
  </si>
  <si>
    <t>CA-2019-100058</t>
  </si>
  <si>
    <t>CG-31747</t>
  </si>
  <si>
    <t>FUR-BOO-8679</t>
  </si>
  <si>
    <t>Bookcases Item 89</t>
  </si>
  <si>
    <t>CA-2019-100059</t>
  </si>
  <si>
    <t>CG-88385</t>
  </si>
  <si>
    <t>OFF-ART-1423</t>
  </si>
  <si>
    <t>Art Item 12</t>
  </si>
  <si>
    <t>CA-2019-100060</t>
  </si>
  <si>
    <t>CG-32962</t>
  </si>
  <si>
    <t>FUR-BOO-8141</t>
  </si>
  <si>
    <t>Bookcases Item 82</t>
  </si>
  <si>
    <t>CA-2019-100061</t>
  </si>
  <si>
    <t>CG-31079</t>
  </si>
  <si>
    <t>Customer 22</t>
  </si>
  <si>
    <t>FUR-FUR-7561</t>
  </si>
  <si>
    <t>Furnishings Item 98</t>
  </si>
  <si>
    <t>CA-2019-100062</t>
  </si>
  <si>
    <t>CG-77449</t>
  </si>
  <si>
    <t>FUR-BOO-4073</t>
  </si>
  <si>
    <t>Bookcases Item 67</t>
  </si>
  <si>
    <t>CA-2019-100063</t>
  </si>
  <si>
    <t>CG-47752</t>
  </si>
  <si>
    <t>TEC-PHO-4920</t>
  </si>
  <si>
    <t>Phones Item 91</t>
  </si>
  <si>
    <t>CA-2019-100064</t>
  </si>
  <si>
    <t>CG-70482</t>
  </si>
  <si>
    <t>FUR-FUR-5781</t>
  </si>
  <si>
    <t>Furnishings Item 66</t>
  </si>
  <si>
    <t>CA-2019-100065</t>
  </si>
  <si>
    <t>CG-60277</t>
  </si>
  <si>
    <t>TEC-MAC-7798</t>
  </si>
  <si>
    <t>Machines Item 44</t>
  </si>
  <si>
    <t>CA-2019-100066</t>
  </si>
  <si>
    <t>CG-29476</t>
  </si>
  <si>
    <t>FUR-TAB-9903</t>
  </si>
  <si>
    <t>Tables Item 49</t>
  </si>
  <si>
    <t>CA-2019-100067</t>
  </si>
  <si>
    <t>CG-40613</t>
  </si>
  <si>
    <t>Customer 50</t>
  </si>
  <si>
    <t>FUR-FUR-8749</t>
  </si>
  <si>
    <t>Furnishings Item 91</t>
  </si>
  <si>
    <t>CA-2019-100068</t>
  </si>
  <si>
    <t>CG-14852</t>
  </si>
  <si>
    <t>Customer 9</t>
  </si>
  <si>
    <t>TEC-ACC-2633</t>
  </si>
  <si>
    <t>Accessories Item 68</t>
  </si>
  <si>
    <t>CA-2019-100069</t>
  </si>
  <si>
    <t>CG-71537</t>
  </si>
  <si>
    <t>OFF-PAP-6383</t>
  </si>
  <si>
    <t>Paper Item 87</t>
  </si>
  <si>
    <t>CA-2019-100070</t>
  </si>
  <si>
    <t>CG-90931</t>
  </si>
  <si>
    <t>TEC-PHO-8110</t>
  </si>
  <si>
    <t>Phones Item 13</t>
  </si>
  <si>
    <t>CA-2019-100071</t>
  </si>
  <si>
    <t>CG-52516</t>
  </si>
  <si>
    <t>FUR-TAB-3385</t>
  </si>
  <si>
    <t>Tables Item 32</t>
  </si>
  <si>
    <t>CA-2019-100072</t>
  </si>
  <si>
    <t>CG-91226</t>
  </si>
  <si>
    <t>OFF-BIN-4804</t>
  </si>
  <si>
    <t>Binders Item 60</t>
  </si>
  <si>
    <t>CA-2019-100073</t>
  </si>
  <si>
    <t>CG-19681</t>
  </si>
  <si>
    <t>OFF-LAB-5097</t>
  </si>
  <si>
    <t>Labels Item 59</t>
  </si>
  <si>
    <t>CA-2019-100074</t>
  </si>
  <si>
    <t>CG-84963</t>
  </si>
  <si>
    <t>OFF-ART-1359</t>
  </si>
  <si>
    <t>Art Item 85</t>
  </si>
  <si>
    <t>CA-2019-100075</t>
  </si>
  <si>
    <t>CG-89569</t>
  </si>
  <si>
    <t>OFF-ART-3240</t>
  </si>
  <si>
    <t>Art Item 81</t>
  </si>
  <si>
    <t>CA-2019-100076</t>
  </si>
  <si>
    <t>CG-27224</t>
  </si>
  <si>
    <t>OFF-LAB-3877</t>
  </si>
  <si>
    <t>Labels Item 26</t>
  </si>
  <si>
    <t>CA-2019-100077</t>
  </si>
  <si>
    <t>CG-73156</t>
  </si>
  <si>
    <t>Customer 19</t>
  </si>
  <si>
    <t>TEC-ACC-2233</t>
  </si>
  <si>
    <t>Accessories Item 19</t>
  </si>
  <si>
    <t>CA-2019-100078</t>
  </si>
  <si>
    <t>CG-61717</t>
  </si>
  <si>
    <t>FUR-TAB-5295</t>
  </si>
  <si>
    <t>Tables Item 75</t>
  </si>
  <si>
    <t>CA-2019-100079</t>
  </si>
  <si>
    <t>CG-89964</t>
  </si>
  <si>
    <t>OFF-LAB-5951</t>
  </si>
  <si>
    <t>Labels Item 84</t>
  </si>
  <si>
    <t>CA-2019-100080</t>
  </si>
  <si>
    <t>CG-22739</t>
  </si>
  <si>
    <t>FUR-TAB-7078</t>
  </si>
  <si>
    <t>CA-2019-100081</t>
  </si>
  <si>
    <t>CG-74139</t>
  </si>
  <si>
    <t>TEC-MAC-4559</t>
  </si>
  <si>
    <t>Machines Item 57</t>
  </si>
  <si>
    <t>CA-2019-100082</t>
  </si>
  <si>
    <t>CG-17936</t>
  </si>
  <si>
    <t>TEC-ACC-2501</t>
  </si>
  <si>
    <t>Accessories Item 85</t>
  </si>
  <si>
    <t>CA-2019-100083</t>
  </si>
  <si>
    <t>CG-84000</t>
  </si>
  <si>
    <t>Customer 14</t>
  </si>
  <si>
    <t>OFF-BIN-4817</t>
  </si>
  <si>
    <t>Binders Item 43</t>
  </si>
  <si>
    <t>CA-2019-100084</t>
  </si>
  <si>
    <t>CG-32871</t>
  </si>
  <si>
    <t>TEC-PHO-6869</t>
  </si>
  <si>
    <t>Phones Item 31</t>
  </si>
  <si>
    <t>CA-2019-100085</t>
  </si>
  <si>
    <t>CG-18330</t>
  </si>
  <si>
    <t>OFF-STO-2786</t>
  </si>
  <si>
    <t>Storage Item 58</t>
  </si>
  <si>
    <t>CA-2019-100086</t>
  </si>
  <si>
    <t>CG-70036</t>
  </si>
  <si>
    <t>FUR-TAB-7984</t>
  </si>
  <si>
    <t>Tables Item 88</t>
  </si>
  <si>
    <t>CA-2019-100087</t>
  </si>
  <si>
    <t>CG-18609</t>
  </si>
  <si>
    <t>FUR-FUR-9692</t>
  </si>
  <si>
    <t>Furnishings Item 38</t>
  </si>
  <si>
    <t>CA-2019-100088</t>
  </si>
  <si>
    <t>CG-66370</t>
  </si>
  <si>
    <t>FUR-TAB-7532</t>
  </si>
  <si>
    <t>Tables Item 54</t>
  </si>
  <si>
    <t>CA-2019-100089</t>
  </si>
  <si>
    <t>CG-72163</t>
  </si>
  <si>
    <t>TEC-ACC-2582</t>
  </si>
  <si>
    <t>Accessories Item 96</t>
  </si>
  <si>
    <t>CA-2019-100090</t>
  </si>
  <si>
    <t>CG-97819</t>
  </si>
  <si>
    <t>OFF-LAB-1842</t>
  </si>
  <si>
    <t>Labels Item 37</t>
  </si>
  <si>
    <t>CA-2019-100091</t>
  </si>
  <si>
    <t>CG-39392</t>
  </si>
  <si>
    <t>TEC-MAC-4705</t>
  </si>
  <si>
    <t>Machines Item 55</t>
  </si>
  <si>
    <t>CA-2019-100092</t>
  </si>
  <si>
    <t>CG-33647</t>
  </si>
  <si>
    <t>FUR-TAB-1100</t>
  </si>
  <si>
    <t>Tables Item 24</t>
  </si>
  <si>
    <t>CA-2019-100093</t>
  </si>
  <si>
    <t>CG-79531</t>
  </si>
  <si>
    <t>FUR-TAB-3578</t>
  </si>
  <si>
    <t>Tables Item 48</t>
  </si>
  <si>
    <t>CA-2019-100094</t>
  </si>
  <si>
    <t>CG-98338</t>
  </si>
  <si>
    <t>OFF-LAB-8957</t>
  </si>
  <si>
    <t>Labels Item 78</t>
  </si>
  <si>
    <t>CA-2019-100095</t>
  </si>
  <si>
    <t>CG-24534</t>
  </si>
  <si>
    <t>OFF-ART-1744</t>
  </si>
  <si>
    <t>Art Item 29</t>
  </si>
  <si>
    <t>CA-2019-100096</t>
  </si>
  <si>
    <t>CG-43491</t>
  </si>
  <si>
    <t>TEC-ACC-8055</t>
  </si>
  <si>
    <t>Accessories Item 23</t>
  </si>
  <si>
    <t>CA-2019-100097</t>
  </si>
  <si>
    <t>CG-62044</t>
  </si>
  <si>
    <t>TEC-ACC-2275</t>
  </si>
  <si>
    <t>Accessories Item 41</t>
  </si>
  <si>
    <t>CA-2019-100098</t>
  </si>
  <si>
    <t>CG-63088</t>
  </si>
  <si>
    <t>OFF-LAB-6928</t>
  </si>
  <si>
    <t>Labels Item 12</t>
  </si>
  <si>
    <t>CA-2019-100099</t>
  </si>
  <si>
    <t>CG-61873</t>
  </si>
  <si>
    <t>TEC-MAC-3754</t>
  </si>
  <si>
    <t>Machines Item 10</t>
  </si>
  <si>
    <t>CA-2019-100100</t>
  </si>
  <si>
    <t>CG-40968</t>
  </si>
  <si>
    <t>TEC-CHA-3504</t>
  </si>
  <si>
    <t>Chairs Item 98</t>
  </si>
  <si>
    <t>CA-2019-100101</t>
  </si>
  <si>
    <t>CG-83889</t>
  </si>
  <si>
    <t>OFF-STO-6295</t>
  </si>
  <si>
    <t>Storage Item 81</t>
  </si>
  <si>
    <t>CA-2019-100102</t>
  </si>
  <si>
    <t>CG-87518</t>
  </si>
  <si>
    <t>FUR-TAB-8404</t>
  </si>
  <si>
    <t>Tables Item 5</t>
  </si>
  <si>
    <t>CA-2019-100103</t>
  </si>
  <si>
    <t>CG-70648</t>
  </si>
  <si>
    <t>Customer 38</t>
  </si>
  <si>
    <t>FUR-FUR-4084</t>
  </si>
  <si>
    <t>Furnishings Item 42</t>
  </si>
  <si>
    <t>CA-2019-100104</t>
  </si>
  <si>
    <t>CG-21053</t>
  </si>
  <si>
    <t>Customer 33</t>
  </si>
  <si>
    <t>TEC-CHA-8172</t>
  </si>
  <si>
    <t>Chairs Item 57</t>
  </si>
  <si>
    <t>CA-2019-100105</t>
  </si>
  <si>
    <t>CG-54350</t>
  </si>
  <si>
    <t>OFF-ART-2079</t>
  </si>
  <si>
    <t>Art Item 43</t>
  </si>
  <si>
    <t>CA-2019-100106</t>
  </si>
  <si>
    <t>CG-53694</t>
  </si>
  <si>
    <t>FUR-TAB-7421</t>
  </si>
  <si>
    <t>Tables Item 17</t>
  </si>
  <si>
    <t>CA-2019-100107</t>
  </si>
  <si>
    <t>CG-97833</t>
  </si>
  <si>
    <t>Customer 45</t>
  </si>
  <si>
    <t>OFF-LAB-9331</t>
  </si>
  <si>
    <t>Labels Item 47</t>
  </si>
  <si>
    <t>CA-2019-100108</t>
  </si>
  <si>
    <t>CG-39693</t>
  </si>
  <si>
    <t>FUR-BOO-9317</t>
  </si>
  <si>
    <t>Bookcases Item 99</t>
  </si>
  <si>
    <t>CA-2019-100109</t>
  </si>
  <si>
    <t>CG-30218</t>
  </si>
  <si>
    <t>Customer 11</t>
  </si>
  <si>
    <t>OFF-LAB-1715</t>
  </si>
  <si>
    <t>Labels Item 53</t>
  </si>
  <si>
    <t>CA-2019-100110</t>
  </si>
  <si>
    <t>CG-50562</t>
  </si>
  <si>
    <t>OFF-STO-8218</t>
  </si>
  <si>
    <t>Storage Item 60</t>
  </si>
  <si>
    <t>CA-2019-100111</t>
  </si>
  <si>
    <t>CG-42768</t>
  </si>
  <si>
    <t>FUR-FUR-2680</t>
  </si>
  <si>
    <t>Furnishings Item 92</t>
  </si>
  <si>
    <t>CA-2019-100112</t>
  </si>
  <si>
    <t>CG-77286</t>
  </si>
  <si>
    <t>TEC-ACC-6727</t>
  </si>
  <si>
    <t>Accessories Item 4</t>
  </si>
  <si>
    <t>CA-2019-100113</t>
  </si>
  <si>
    <t>CG-13694</t>
  </si>
  <si>
    <t>Customer 21</t>
  </si>
  <si>
    <t>TEC-CHA-1627</t>
  </si>
  <si>
    <t>Chairs Item 37</t>
  </si>
  <si>
    <t>CA-2019-100114</t>
  </si>
  <si>
    <t>CG-20384</t>
  </si>
  <si>
    <t>TEC-ACC-2821</t>
  </si>
  <si>
    <t>Accessories Item 100</t>
  </si>
  <si>
    <t>CA-2019-100115</t>
  </si>
  <si>
    <t>CG-18232</t>
  </si>
  <si>
    <t>OFF-STO-4963</t>
  </si>
  <si>
    <t>Storage Item 92</t>
  </si>
  <si>
    <t>CA-2019-100116</t>
  </si>
  <si>
    <t>CG-34551</t>
  </si>
  <si>
    <t>OFF-ART-2108</t>
  </si>
  <si>
    <t>Art Item 68</t>
  </si>
  <si>
    <t>CA-2019-100117</t>
  </si>
  <si>
    <t>CG-58929</t>
  </si>
  <si>
    <t>FUR-BOO-6649</t>
  </si>
  <si>
    <t>CA-2019-100118</t>
  </si>
  <si>
    <t>CG-94252</t>
  </si>
  <si>
    <t>OFF-LAB-3986</t>
  </si>
  <si>
    <t>Labels Item 18</t>
  </si>
  <si>
    <t>CA-2019-100119</t>
  </si>
  <si>
    <t>CG-51365</t>
  </si>
  <si>
    <t>OFF-LAB-5150</t>
  </si>
  <si>
    <t>Labels Item 5</t>
  </si>
  <si>
    <t>CA-2019-100120</t>
  </si>
  <si>
    <t>CG-26315</t>
  </si>
  <si>
    <t>Customer 24</t>
  </si>
  <si>
    <t>OFF-LAB-7334</t>
  </si>
  <si>
    <t>Labels Item 44</t>
  </si>
  <si>
    <t>CA-2019-100121</t>
  </si>
  <si>
    <t>CG-65640</t>
  </si>
  <si>
    <t>OFF-ART-6262</t>
  </si>
  <si>
    <t>CA-2019-100122</t>
  </si>
  <si>
    <t>CG-56077</t>
  </si>
  <si>
    <t>OFF-LAB-5498</t>
  </si>
  <si>
    <t>Labels Item 82</t>
  </si>
  <si>
    <t>CA-2019-100123</t>
  </si>
  <si>
    <t>CG-14081</t>
  </si>
  <si>
    <t>TEC-CHA-2101</t>
  </si>
  <si>
    <t>Chairs Item 31</t>
  </si>
  <si>
    <t>CA-2019-100124</t>
  </si>
  <si>
    <t>CG-99006</t>
  </si>
  <si>
    <t>FUR-BOO-3255</t>
  </si>
  <si>
    <t>Bookcases Item 68</t>
  </si>
  <si>
    <t>CA-2019-100125</t>
  </si>
  <si>
    <t>CG-75410</t>
  </si>
  <si>
    <t>Customer 34</t>
  </si>
  <si>
    <t>FUR-TAB-8311</t>
  </si>
  <si>
    <t>Tables Item 28</t>
  </si>
  <si>
    <t>CA-2019-100126</t>
  </si>
  <si>
    <t>CG-32630</t>
  </si>
  <si>
    <t>Customer 46</t>
  </si>
  <si>
    <t>OFF-ART-6692</t>
  </si>
  <si>
    <t>Art Item 91</t>
  </si>
  <si>
    <t>CA-2019-100127</t>
  </si>
  <si>
    <t>CG-76683</t>
  </si>
  <si>
    <t>TEC-CHA-9094</t>
  </si>
  <si>
    <t>Chairs Item 4</t>
  </si>
  <si>
    <t>CA-2019-100128</t>
  </si>
  <si>
    <t>CG-18617</t>
  </si>
  <si>
    <t>OFF-LAB-7708</t>
  </si>
  <si>
    <t>Labels Item 74</t>
  </si>
  <si>
    <t>CA-2019-100129</t>
  </si>
  <si>
    <t>CG-26821</t>
  </si>
  <si>
    <t>TEC-ACC-9238</t>
  </si>
  <si>
    <t>Accessories Item 8</t>
  </si>
  <si>
    <t>CA-2019-100130</t>
  </si>
  <si>
    <t>CG-55353</t>
  </si>
  <si>
    <t>FUR-BOO-5496</t>
  </si>
  <si>
    <t>Bookcases Item 17</t>
  </si>
  <si>
    <t>CA-2019-100131</t>
  </si>
  <si>
    <t>CG-32439</t>
  </si>
  <si>
    <t>OFF-PAP-1464</t>
  </si>
  <si>
    <t>Paper Item 11</t>
  </si>
  <si>
    <t>CA-2019-100132</t>
  </si>
  <si>
    <t>CG-75278</t>
  </si>
  <si>
    <t>OFF-ART-8912</t>
  </si>
  <si>
    <t>Art Item 32</t>
  </si>
  <si>
    <t>CA-2019-100133</t>
  </si>
  <si>
    <t>CG-67619</t>
  </si>
  <si>
    <t>Customer 27</t>
  </si>
  <si>
    <t>TEC-MAC-3353</t>
  </si>
  <si>
    <t>Machines Item 41</t>
  </si>
  <si>
    <t>CA-2019-100134</t>
  </si>
  <si>
    <t>CG-51827</t>
  </si>
  <si>
    <t>FUR-TAB-5061</t>
  </si>
  <si>
    <t>Tables Item 19</t>
  </si>
  <si>
    <t>CA-2019-100135</t>
  </si>
  <si>
    <t>CG-52917</t>
  </si>
  <si>
    <t>TEC-CHA-9163</t>
  </si>
  <si>
    <t>Chairs Item 66</t>
  </si>
  <si>
    <t>CA-2019-100136</t>
  </si>
  <si>
    <t>CG-41552</t>
  </si>
  <si>
    <t>TEC-PHO-5609</t>
  </si>
  <si>
    <t>Phones Item 64</t>
  </si>
  <si>
    <t>CA-2019-100137</t>
  </si>
  <si>
    <t>CG-44664</t>
  </si>
  <si>
    <t>FUR-BOO-7563</t>
  </si>
  <si>
    <t>Bookcases Item 7</t>
  </si>
  <si>
    <t>CA-2019-100138</t>
  </si>
  <si>
    <t>CG-82070</t>
  </si>
  <si>
    <t>TEC-PHO-7453</t>
  </si>
  <si>
    <t>Phones Item 48</t>
  </si>
  <si>
    <t>CA-2019-100139</t>
  </si>
  <si>
    <t>CG-75546</t>
  </si>
  <si>
    <t>TEC-MAC-8761</t>
  </si>
  <si>
    <t>Machines Item 67</t>
  </si>
  <si>
    <t>CA-2019-100140</t>
  </si>
  <si>
    <t>CG-61505</t>
  </si>
  <si>
    <t>OFF-ART-9311</t>
  </si>
  <si>
    <t>Art Item 66</t>
  </si>
  <si>
    <t>CA-2019-100141</t>
  </si>
  <si>
    <t>CG-98317</t>
  </si>
  <si>
    <t>OFF-PAP-8775</t>
  </si>
  <si>
    <t>Paper Item 34</t>
  </si>
  <si>
    <t>CA-2019-100142</t>
  </si>
  <si>
    <t>CG-78712</t>
  </si>
  <si>
    <t>TEC-CHA-1517</t>
  </si>
  <si>
    <t>Chairs Item 74</t>
  </si>
  <si>
    <t>CA-2019-100143</t>
  </si>
  <si>
    <t>CG-64127</t>
  </si>
  <si>
    <t>OFF-STO-8726</t>
  </si>
  <si>
    <t>Storage Item 95</t>
  </si>
  <si>
    <t>CA-2019-100144</t>
  </si>
  <si>
    <t>CG-51124</t>
  </si>
  <si>
    <t>OFF-ART-5331</t>
  </si>
  <si>
    <t>Art Item 79</t>
  </si>
  <si>
    <t>CA-2019-100145</t>
  </si>
  <si>
    <t>CG-37168</t>
  </si>
  <si>
    <t>FUR-TAB-6714</t>
  </si>
  <si>
    <t>Tables Item 72</t>
  </si>
  <si>
    <t>CA-2019-100146</t>
  </si>
  <si>
    <t>CG-61712</t>
  </si>
  <si>
    <t>TEC-MAC-2294</t>
  </si>
  <si>
    <t>Machines Item 45</t>
  </si>
  <si>
    <t>CA-2019-100147</t>
  </si>
  <si>
    <t>CG-27992</t>
  </si>
  <si>
    <t>TEC-PHO-9700</t>
  </si>
  <si>
    <t>Phones Item 29</t>
  </si>
  <si>
    <t>CA-2019-100148</t>
  </si>
  <si>
    <t>CG-10679</t>
  </si>
  <si>
    <t>Customer 36</t>
  </si>
  <si>
    <t>OFF-LAB-8822</t>
  </si>
  <si>
    <t>CA-2019-100149</t>
  </si>
  <si>
    <t>CG-80143</t>
  </si>
  <si>
    <t>TEC-ACC-3880</t>
  </si>
  <si>
    <t>Accessories Item 5</t>
  </si>
  <si>
    <t>CA-2019-100150</t>
  </si>
  <si>
    <t>CG-49110</t>
  </si>
  <si>
    <t>FUR-TAB-8444</t>
  </si>
  <si>
    <t>Tables Item 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</si>
</sst>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0.0%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20"/>
      <color rgb="FFFFFFFF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b/>
      <sz val="16"/>
      <color rgb="FF17365D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theme="3" tint="-0.2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78" fontId="0" fillId="0" borderId="1" xfId="0" applyNumberFormat="1" applyBorder="1" applyAlignment="1">
      <alignment horizontal="center"/>
    </xf>
    <xf numFmtId="4" fontId="0" fillId="0" borderId="1" xfId="0" applyNumberFormat="1" applyBorder="1"/>
    <xf numFmtId="3" fontId="0" fillId="0" borderId="1" xfId="0" applyNumberFormat="1" applyBorder="1" applyAlignment="1">
      <alignment horizontal="center"/>
    </xf>
    <xf numFmtId="179" fontId="0" fillId="0" borderId="1" xfId="0" applyNumberFormat="1" applyBorder="1"/>
    <xf numFmtId="10" fontId="0" fillId="0" borderId="1" xfId="0" applyNumberFormat="1" applyBorder="1"/>
    <xf numFmtId="0" fontId="2" fillId="3" borderId="0" xfId="0" applyFont="1" applyFill="1" applyAlignment="1">
      <alignment horizontal="center"/>
    </xf>
    <xf numFmtId="0" fontId="0" fillId="4" borderId="0" xfId="0" applyFill="1"/>
    <xf numFmtId="0" fontId="3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4" fontId="4" fillId="6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[Mini_Project_1_Superstore_Analysis_FINAL.xlsx]Pivot_Tables!Regional_Performance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Pivot_Tables!$A$3:$A$6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Pivot_Tables!$B$3:$B$6</c:f>
              <c:numCache>
                <c:formatCode>General</c:formatCode>
                <c:ptCount val="3"/>
                <c:pt idx="0">
                  <c:v>31806.56</c:v>
                </c:pt>
                <c:pt idx="1">
                  <c:v>35497.33</c:v>
                </c:pt>
                <c:pt idx="2">
                  <c:v>25803.19</c:v>
                </c:pt>
              </c:numCache>
            </c:numRef>
          </c:val>
        </c:ser>
        <c:ser>
          <c:idx val="1"/>
          <c:order val="1"/>
          <c:tx>
            <c:strRef>
              <c:f>Pivot_Tables!$C$2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Pivot_Tables!$A$3:$A$6</c:f>
              <c:strCache>
                <c:ptCount val="3"/>
                <c:pt idx="0">
                  <c:v>East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Pivot_Tables!$C$3:$C$6</c:f>
              <c:numCache>
                <c:formatCode>General</c:formatCode>
                <c:ptCount val="3"/>
                <c:pt idx="0">
                  <c:v>4619.71</c:v>
                </c:pt>
                <c:pt idx="1">
                  <c:v>4173.24</c:v>
                </c:pt>
                <c:pt idx="2">
                  <c:v>2738.88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6954991"/>
        <c:axId val="489899815"/>
      </c:barChart>
      <c:catAx>
        <c:axId val="1269549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9899815"/>
        <c:crosses val="autoZero"/>
        <c:auto val="1"/>
        <c:lblAlgn val="ctr"/>
        <c:lblOffset val="100"/>
        <c:noMultiLvlLbl val="0"/>
      </c:catAx>
      <c:valAx>
        <c:axId val="489899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95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5d6056-e9b5-4d04-9e27-f6d210a813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[Mini_Project_1_Superstore_Analysis_FINAL.xlsx]Pivot_Tables!Category_Profitability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Pivot_Tables!$G$2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Pivot_Tables!$F$3:$F$6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Pivot_Tables!$G$3:$G$6</c:f>
              <c:numCache>
                <c:formatCode>General</c:formatCode>
                <c:ptCount val="3"/>
                <c:pt idx="0">
                  <c:v>37098.22</c:v>
                </c:pt>
                <c:pt idx="1">
                  <c:v>28668.23</c:v>
                </c:pt>
                <c:pt idx="2">
                  <c:v>27340.63</c:v>
                </c:pt>
              </c:numCache>
            </c:numRef>
          </c:val>
        </c:ser>
        <c:ser>
          <c:idx val="1"/>
          <c:order val="1"/>
          <c:tx>
            <c:strRef>
              <c:f>Pivot_Tables!$H$2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Pivot_Tables!$F$3:$F$6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Pivot_Tables!$H$3:$H$6</c:f>
              <c:numCache>
                <c:formatCode>General</c:formatCode>
                <c:ptCount val="3"/>
                <c:pt idx="0">
                  <c:v>5529.67</c:v>
                </c:pt>
                <c:pt idx="1">
                  <c:v>3210.72</c:v>
                </c:pt>
                <c:pt idx="2">
                  <c:v>2791.44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5701659"/>
        <c:axId val="586317493"/>
      </c:barChart>
      <c:catAx>
        <c:axId val="357016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317493"/>
        <c:crosses val="autoZero"/>
        <c:auto val="1"/>
        <c:lblAlgn val="ctr"/>
        <c:lblOffset val="100"/>
        <c:noMultiLvlLbl val="0"/>
      </c:catAx>
      <c:valAx>
        <c:axId val="5863174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016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0d52bc-14cf-4f39-acbb-9087e39e1e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[Mini_Project_1_Superstore_Analysis_FINAL.xlsx]Pivot_Tables!Monthly_Sales_Trend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Pivot_Tables!$B$24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Pivot_Tables!$A$25:$A$37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Pivot_Tables!$B$25:$B$37</c:f>
              <c:numCache>
                <c:formatCode>General</c:formatCode>
                <c:ptCount val="12"/>
                <c:pt idx="0">
                  <c:v>4763.68</c:v>
                </c:pt>
                <c:pt idx="1">
                  <c:v>11156.51</c:v>
                </c:pt>
                <c:pt idx="2">
                  <c:v>6491.71</c:v>
                </c:pt>
                <c:pt idx="3">
                  <c:v>8484.07</c:v>
                </c:pt>
                <c:pt idx="4">
                  <c:v>11896.93</c:v>
                </c:pt>
                <c:pt idx="5">
                  <c:v>6220.72</c:v>
                </c:pt>
                <c:pt idx="6">
                  <c:v>3010.57</c:v>
                </c:pt>
                <c:pt idx="7">
                  <c:v>7425.75</c:v>
                </c:pt>
                <c:pt idx="8">
                  <c:v>6631.08</c:v>
                </c:pt>
                <c:pt idx="9">
                  <c:v>8393.99</c:v>
                </c:pt>
                <c:pt idx="10">
                  <c:v>8220.58</c:v>
                </c:pt>
                <c:pt idx="11">
                  <c:v>10411.49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94029900"/>
        <c:axId val="199157439"/>
      </c:lineChart>
      <c:catAx>
        <c:axId val="2940299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157439"/>
        <c:crosses val="autoZero"/>
        <c:auto val="1"/>
        <c:lblAlgn val="ctr"/>
        <c:lblOffset val="100"/>
        <c:noMultiLvlLbl val="0"/>
      </c:catAx>
      <c:valAx>
        <c:axId val="19915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0299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81ef01-1812-4752-83ac-8d7186fa42b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[Mini_Project_1_Superstore_Analysis_FINAL.xlsx]Pivot_Tables!Sales_Category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0482858522452921"/>
          <c:y val="0.26121335957598"/>
          <c:w val="0.661999034282955"/>
          <c:h val="0.596864351059355"/>
        </c:manualLayout>
      </c:layout>
      <c:pie3DChart>
        <c:varyColors val="1"/>
        <c:ser>
          <c:idx val="0"/>
          <c:order val="0"/>
          <c:tx>
            <c:strRef>
              <c:f>Pivot_Tables!$J$24</c:f>
              <c:strCache>
                <c:ptCount val="1"/>
                <c:pt idx="0">
                  <c:v>Sum of Sales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Pivot_Tables!$I$25:$I$27</c:f>
              <c:strCache>
                <c:ptCount val="2"/>
                <c:pt idx="0">
                  <c:v>High Sales</c:v>
                </c:pt>
                <c:pt idx="1">
                  <c:v>Standard Sales</c:v>
                </c:pt>
              </c:strCache>
            </c:strRef>
          </c:cat>
          <c:val>
            <c:numRef>
              <c:f>Pivot_Tables!$J$25:$J$27</c:f>
              <c:numCache>
                <c:formatCode>General</c:formatCode>
                <c:ptCount val="2"/>
                <c:pt idx="0">
                  <c:v>85948.19</c:v>
                </c:pt>
                <c:pt idx="1">
                  <c:v>7158.89</c:v>
                </c:pt>
              </c:numCache>
            </c:numRef>
          </c:val>
        </c:ser>
        <c:ser>
          <c:idx val="1"/>
          <c:order val="1"/>
          <c:tx>
            <c:strRef>
              <c:f>Pivot_Tables!$K$24</c:f>
              <c:strCache>
                <c:ptCount val="1"/>
                <c:pt idx="0">
                  <c:v>Count of Customer ID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Pivot_Tables!$I$25:$I$27</c:f>
              <c:strCache>
                <c:ptCount val="2"/>
                <c:pt idx="0">
                  <c:v>High Sales</c:v>
                </c:pt>
                <c:pt idx="1">
                  <c:v>Standard Sales</c:v>
                </c:pt>
              </c:strCache>
            </c:strRef>
          </c:cat>
          <c:val>
            <c:numRef>
              <c:f>Pivot_Tables!$K$25:$K$27</c:f>
              <c:numCache>
                <c:formatCode>General</c:formatCode>
                <c:ptCount val="2"/>
                <c:pt idx="0">
                  <c:v>84</c:v>
                </c:pt>
                <c:pt idx="1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9b5844-ac49-4371-8b84-84bce05b46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[Mini_Project_1_Superstore_Analysis_FINAL.xlsx]Pivot_Tables!Customer_Segmentation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Pivot_Tables!$L$2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Pivot_Tables!$K$3:$K$6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Pivot_Tables!$L$3:$L$6</c:f>
              <c:numCache>
                <c:formatCode>General</c:formatCode>
                <c:ptCount val="3"/>
                <c:pt idx="0">
                  <c:v>24267.27</c:v>
                </c:pt>
                <c:pt idx="1">
                  <c:v>33820.11</c:v>
                </c:pt>
                <c:pt idx="2">
                  <c:v>35019.7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Pivot_Tables!$M$2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Pivot_Tables!$K$3:$K$6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Pivot_Tables!$M$3:$M$6</c:f>
              <c:numCache>
                <c:formatCode>General</c:formatCode>
                <c:ptCount val="3"/>
                <c:pt idx="0">
                  <c:v>3888.05</c:v>
                </c:pt>
                <c:pt idx="1">
                  <c:v>4479.73</c:v>
                </c:pt>
                <c:pt idx="2">
                  <c:v>3164.05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Pivot_Tables!$N$2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Pivot_Tables!$K$3:$K$6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Pivot_Tables!$N$3:$N$6</c:f>
              <c:numCache>
                <c:formatCode>General</c:formatCode>
                <c:ptCount val="3"/>
                <c:pt idx="0">
                  <c:v>29</c:v>
                </c:pt>
                <c:pt idx="1">
                  <c:v>45</c:v>
                </c:pt>
                <c:pt idx="2">
                  <c:v>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0239751"/>
        <c:axId val="130316365"/>
      </c:lineChart>
      <c:catAx>
        <c:axId val="910239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316365"/>
        <c:crosses val="autoZero"/>
        <c:auto val="1"/>
        <c:lblAlgn val="ctr"/>
        <c:lblOffset val="100"/>
        <c:noMultiLvlLbl val="0"/>
      </c:catAx>
      <c:valAx>
        <c:axId val="1303163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0239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0d66737-f927-4ce1-a320-fde08c127c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13</xdr:row>
      <xdr:rowOff>68580</xdr:rowOff>
    </xdr:from>
    <xdr:to>
      <xdr:col>5</xdr:col>
      <xdr:colOff>508635</xdr:colOff>
      <xdr:row>29</xdr:row>
      <xdr:rowOff>67310</xdr:rowOff>
    </xdr:to>
    <xdr:graphicFrame>
      <xdr:nvGraphicFramePr>
        <xdr:cNvPr id="5" name="Chart 4"/>
        <xdr:cNvGraphicFramePr/>
      </xdr:nvGraphicFramePr>
      <xdr:xfrm>
        <a:off x="7620" y="3078480"/>
        <a:ext cx="5027295" cy="2924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655955</xdr:colOff>
      <xdr:row>13</xdr:row>
      <xdr:rowOff>80645</xdr:rowOff>
    </xdr:from>
    <xdr:to>
      <xdr:col>11</xdr:col>
      <xdr:colOff>568960</xdr:colOff>
      <xdr:row>29</xdr:row>
      <xdr:rowOff>76835</xdr:rowOff>
    </xdr:to>
    <xdr:graphicFrame>
      <xdr:nvGraphicFramePr>
        <xdr:cNvPr id="8" name="Chart 7"/>
        <xdr:cNvGraphicFramePr/>
      </xdr:nvGraphicFramePr>
      <xdr:xfrm>
        <a:off x="5182235" y="3090545"/>
        <a:ext cx="5467985" cy="2922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71120</xdr:colOff>
      <xdr:row>30</xdr:row>
      <xdr:rowOff>68580</xdr:rowOff>
    </xdr:from>
    <xdr:to>
      <xdr:col>9</xdr:col>
      <xdr:colOff>337185</xdr:colOff>
      <xdr:row>48</xdr:row>
      <xdr:rowOff>91440</xdr:rowOff>
    </xdr:to>
    <xdr:graphicFrame>
      <xdr:nvGraphicFramePr>
        <xdr:cNvPr id="9" name="Chart 8"/>
        <xdr:cNvGraphicFramePr/>
      </xdr:nvGraphicFramePr>
      <xdr:xfrm>
        <a:off x="71120" y="6187440"/>
        <a:ext cx="8427085" cy="331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560070</xdr:colOff>
      <xdr:row>5</xdr:row>
      <xdr:rowOff>27940</xdr:rowOff>
    </xdr:from>
    <xdr:to>
      <xdr:col>2</xdr:col>
      <xdr:colOff>692785</xdr:colOff>
      <xdr:row>12</xdr:row>
      <xdr:rowOff>29210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070" y="1305560"/>
              <a:ext cx="2258695" cy="1550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486410</xdr:colOff>
      <xdr:row>5</xdr:row>
      <xdr:rowOff>1270</xdr:rowOff>
    </xdr:from>
    <xdr:to>
      <xdr:col>19</xdr:col>
      <xdr:colOff>610235</xdr:colOff>
      <xdr:row>11</xdr:row>
      <xdr:rowOff>177165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79450" y="1278890"/>
              <a:ext cx="2592705" cy="15424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292735</xdr:colOff>
      <xdr:row>5</xdr:row>
      <xdr:rowOff>30480</xdr:rowOff>
    </xdr:from>
    <xdr:to>
      <xdr:col>10</xdr:col>
      <xdr:colOff>830580</xdr:colOff>
      <xdr:row>12</xdr:row>
      <xdr:rowOff>31750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56475" y="1308100"/>
              <a:ext cx="2595245" cy="1550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11</xdr:col>
      <xdr:colOff>711835</xdr:colOff>
      <xdr:row>13</xdr:row>
      <xdr:rowOff>51435</xdr:rowOff>
    </xdr:from>
    <xdr:to>
      <xdr:col>20</xdr:col>
      <xdr:colOff>578485</xdr:colOff>
      <xdr:row>29</xdr:row>
      <xdr:rowOff>76200</xdr:rowOff>
    </xdr:to>
    <xdr:graphicFrame>
      <xdr:nvGraphicFramePr>
        <xdr:cNvPr id="16" name="Chart 15"/>
        <xdr:cNvGraphicFramePr/>
      </xdr:nvGraphicFramePr>
      <xdr:xfrm>
        <a:off x="10793095" y="3061335"/>
        <a:ext cx="5764530" cy="2950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502920</xdr:colOff>
      <xdr:row>30</xdr:row>
      <xdr:rowOff>81280</xdr:rowOff>
    </xdr:from>
    <xdr:to>
      <xdr:col>20</xdr:col>
      <xdr:colOff>584835</xdr:colOff>
      <xdr:row>48</xdr:row>
      <xdr:rowOff>97790</xdr:rowOff>
    </xdr:to>
    <xdr:graphicFrame>
      <xdr:nvGraphicFramePr>
        <xdr:cNvPr id="17" name="Chart 16"/>
        <xdr:cNvGraphicFramePr/>
      </xdr:nvGraphicFramePr>
      <xdr:xfrm>
        <a:off x="8663940" y="6200140"/>
        <a:ext cx="7900035" cy="3308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8.6161342593" refreshedBy="dell" recordCount="150">
  <cacheSource type="worksheet">
    <worksheetSource ref="A1:X151" sheet="Cleaned_Data"/>
  </cacheSource>
  <cacheFields count="24">
    <cacheField name="Order ID" numFmtId="0">
      <sharedItems count="150">
        <s v="CA-2019-100001"/>
        <s v="CA-2019-100002"/>
        <s v="CA-2019-100003"/>
        <s v="CA-2019-100004"/>
        <s v="CA-2019-100005"/>
        <s v="CA-2019-100006"/>
        <s v="CA-2019-100007"/>
        <s v="CA-2019-100008"/>
        <s v="CA-2019-100009"/>
        <s v="CA-2019-100010"/>
        <s v="CA-2019-100011"/>
        <s v="CA-2019-100012"/>
        <s v="CA-2019-100013"/>
        <s v="CA-2019-100014"/>
        <s v="CA-2019-100015"/>
        <s v="CA-2019-100016"/>
        <s v="CA-2019-100017"/>
        <s v="CA-2019-100018"/>
        <s v="CA-2019-100019"/>
        <s v="CA-2019-100020"/>
        <s v="CA-2019-100021"/>
        <s v="CA-2019-100022"/>
        <s v="CA-2019-100023"/>
        <s v="CA-2019-100024"/>
        <s v="CA-2019-100025"/>
        <s v="CA-2019-100026"/>
        <s v="CA-2019-100027"/>
        <s v="CA-2019-100028"/>
        <s v="CA-2019-100029"/>
        <s v="CA-2019-100030"/>
        <s v="CA-2019-100031"/>
        <s v="CA-2019-100032"/>
        <s v="CA-2019-100033"/>
        <s v="CA-2019-100034"/>
        <s v="CA-2019-100035"/>
        <s v="CA-2019-100036"/>
        <s v="CA-2019-100037"/>
        <s v="CA-2019-100038"/>
        <s v="CA-2019-100039"/>
        <s v="CA-2019-100040"/>
        <s v="CA-2019-100041"/>
        <s v="CA-2019-100042"/>
        <s v="CA-2019-100043"/>
        <s v="CA-2019-100044"/>
        <s v="CA-2019-100045"/>
        <s v="CA-2019-100046"/>
        <s v="CA-2019-100047"/>
        <s v="CA-2019-100048"/>
        <s v="CA-2019-100049"/>
        <s v="CA-2019-100050"/>
        <s v="CA-2019-100051"/>
        <s v="CA-2019-100052"/>
        <s v="CA-2019-100053"/>
        <s v="CA-2019-100054"/>
        <s v="CA-2019-100055"/>
        <s v="CA-2019-100056"/>
        <s v="CA-2019-100057"/>
        <s v="CA-2019-100058"/>
        <s v="CA-2019-100059"/>
        <s v="CA-2019-100060"/>
        <s v="CA-2019-100061"/>
        <s v="CA-2019-100062"/>
        <s v="CA-2019-100063"/>
        <s v="CA-2019-100064"/>
        <s v="CA-2019-100065"/>
        <s v="CA-2019-100066"/>
        <s v="CA-2019-100067"/>
        <s v="CA-2019-100068"/>
        <s v="CA-2019-100069"/>
        <s v="CA-2019-100070"/>
        <s v="CA-2019-100071"/>
        <s v="CA-2019-100072"/>
        <s v="CA-2019-100073"/>
        <s v="CA-2019-100074"/>
        <s v="CA-2019-100075"/>
        <s v="CA-2019-100076"/>
        <s v="CA-2019-100077"/>
        <s v="CA-2019-100078"/>
        <s v="CA-2019-100079"/>
        <s v="CA-2019-100080"/>
        <s v="CA-2019-100081"/>
        <s v="CA-2019-100082"/>
        <s v="CA-2019-100083"/>
        <s v="CA-2019-100084"/>
        <s v="CA-2019-100085"/>
        <s v="CA-2019-100086"/>
        <s v="CA-2019-100087"/>
        <s v="CA-2019-100088"/>
        <s v="CA-2019-100089"/>
        <s v="CA-2019-100090"/>
        <s v="CA-2019-100091"/>
        <s v="CA-2019-100092"/>
        <s v="CA-2019-100093"/>
        <s v="CA-2019-100094"/>
        <s v="CA-2019-100095"/>
        <s v="CA-2019-100096"/>
        <s v="CA-2019-100097"/>
        <s v="CA-2019-100098"/>
        <s v="CA-2019-100099"/>
        <s v="CA-2019-100100"/>
        <s v="CA-2019-100101"/>
        <s v="CA-2019-100102"/>
        <s v="CA-2019-100103"/>
        <s v="CA-2019-100104"/>
        <s v="CA-2019-100105"/>
        <s v="CA-2019-100106"/>
        <s v="CA-2019-100107"/>
        <s v="CA-2019-100108"/>
        <s v="CA-2019-100109"/>
        <s v="CA-2019-100110"/>
        <s v="CA-2019-100111"/>
        <s v="CA-2019-100112"/>
        <s v="CA-2019-100113"/>
        <s v="CA-2019-100114"/>
        <s v="CA-2019-100115"/>
        <s v="CA-2019-100116"/>
        <s v="CA-2019-100117"/>
        <s v="CA-2019-100118"/>
        <s v="CA-2019-100119"/>
        <s v="CA-2019-100120"/>
        <s v="CA-2019-100121"/>
        <s v="CA-2019-100122"/>
        <s v="CA-2019-100123"/>
        <s v="CA-2019-100124"/>
        <s v="CA-2019-100125"/>
        <s v="CA-2019-100126"/>
        <s v="CA-2019-100127"/>
        <s v="CA-2019-100128"/>
        <s v="CA-2019-100129"/>
        <s v="CA-2019-100130"/>
        <s v="CA-2019-100131"/>
        <s v="CA-2019-100132"/>
        <s v="CA-2019-100133"/>
        <s v="CA-2019-100134"/>
        <s v="CA-2019-100135"/>
        <s v="CA-2019-100136"/>
        <s v="CA-2019-100137"/>
        <s v="CA-2019-100138"/>
        <s v="CA-2019-100139"/>
        <s v="CA-2019-100140"/>
        <s v="CA-2019-100141"/>
        <s v="CA-2019-100142"/>
        <s v="CA-2019-100143"/>
        <s v="CA-2019-100144"/>
        <s v="CA-2019-100145"/>
        <s v="CA-2019-100146"/>
        <s v="CA-2019-100147"/>
        <s v="CA-2019-100148"/>
        <s v="CA-2019-100149"/>
        <s v="CA-2019-100150"/>
      </sharedItems>
    </cacheField>
    <cacheField name="Order Date" numFmtId="0">
      <sharedItems containsSemiMixedTypes="0" containsString="0" containsNonDate="0" containsDate="1" minDate="2019-01-09T00:00:00" maxDate="2019-12-26T00:00:00" count="123">
        <d v="2019-11-24T00:00:00"/>
        <d v="2019-04-30T00:00:00"/>
        <d v="2019-03-21T00:00:00"/>
        <d v="2019-07-13T00:00:00"/>
        <d v="2019-02-21T00:00:00"/>
        <d v="2019-05-06T00:00:00"/>
        <d v="2019-04-19T00:00:00"/>
        <d v="2019-08-08T00:00:00"/>
        <d v="2019-11-02T00:00:00"/>
        <d v="2019-08-21T00:00:00"/>
        <d v="2019-09-29T00:00:00"/>
        <d v="2019-02-05T00:00:00"/>
        <d v="2019-12-10T00:00:00"/>
        <d v="2019-11-20T00:00:00"/>
        <d v="2019-10-20T00:00:00"/>
        <d v="2019-11-27T00:00:00"/>
        <d v="2019-05-08T00:00:00"/>
        <d v="2019-03-26T00:00:00"/>
        <d v="2019-10-05T00:00:00"/>
        <d v="2019-02-04T00:00:00"/>
        <d v="2019-04-15T00:00:00"/>
        <d v="2019-04-20T00:00:00"/>
        <d v="2019-10-11T00:00:00"/>
        <d v="2019-11-21T00:00:00"/>
        <d v="2019-10-10T00:00:00"/>
        <d v="2019-07-06T00:00:00"/>
        <d v="2019-04-01T00:00:00"/>
        <d v="2019-08-29T00:00:00"/>
        <d v="2019-09-18T00:00:00"/>
        <d v="2019-09-19T00:00:00"/>
        <d v="2019-12-07T00:00:00"/>
        <d v="2019-08-15T00:00:00"/>
        <d v="2019-04-12T00:00:00"/>
        <d v="2019-12-02T00:00:00"/>
        <d v="2019-05-21T00:00:00"/>
        <d v="2019-02-02T00:00:00"/>
        <d v="2019-10-22T00:00:00"/>
        <d v="2019-09-06T00:00:00"/>
        <d v="2019-10-31T00:00:00"/>
        <d v="2019-07-14T00:00:00"/>
        <d v="2019-05-07T00:00:00"/>
        <d v="2019-03-27T00:00:00"/>
        <d v="2019-11-18T00:00:00"/>
        <d v="2019-06-24T00:00:00"/>
        <d v="2019-10-03T00:00:00"/>
        <d v="2019-12-09T00:00:00"/>
        <d v="2019-09-22T00:00:00"/>
        <d v="2019-04-24T00:00:00"/>
        <d v="2019-05-22T00:00:00"/>
        <d v="2019-01-28T00:00:00"/>
        <d v="2019-09-02T00:00:00"/>
        <d v="2019-11-13T00:00:00"/>
        <d v="2019-05-16T00:00:00"/>
        <d v="2019-05-28T00:00:00"/>
        <d v="2019-03-14T00:00:00"/>
        <d v="2019-09-10T00:00:00"/>
        <d v="2019-12-11T00:00:00"/>
        <d v="2019-06-20T00:00:00"/>
        <d v="2019-06-15T00:00:00"/>
        <d v="2019-02-17T00:00:00"/>
        <d v="2019-05-05T00:00:00"/>
        <d v="2019-05-25T00:00:00"/>
        <d v="2019-05-03T00:00:00"/>
        <d v="2019-11-30T00:00:00"/>
        <d v="2019-09-07T00:00:00"/>
        <d v="2019-06-03T00:00:00"/>
        <d v="2019-02-10T00:00:00"/>
        <d v="2019-08-27T00:00:00"/>
        <d v="2019-02-24T00:00:00"/>
        <d v="2019-09-12T00:00:00"/>
        <d v="2019-01-18T00:00:00"/>
        <d v="2019-05-20T00:00:00"/>
        <d v="2019-10-13T00:00:00"/>
        <d v="2019-08-30T00:00:00"/>
        <d v="2019-06-05T00:00:00"/>
        <d v="2019-12-18T00:00:00"/>
        <d v="2019-03-16T00:00:00"/>
        <d v="2019-03-06T00:00:00"/>
        <d v="2019-12-04T00:00:00"/>
        <d v="2019-06-14T00:00:00"/>
        <d v="2019-12-26T00:00:00"/>
        <d v="2019-05-11T00:00:00"/>
        <d v="2019-10-15T00:00:00"/>
        <d v="2019-12-03T00:00:00"/>
        <d v="2019-02-28T00:00:00"/>
        <d v="2019-06-04T00:00:00"/>
        <d v="2019-08-02T00:00:00"/>
        <d v="2019-07-25T00:00:00"/>
        <d v="2019-06-28T00:00:00"/>
        <d v="2019-02-16T00:00:00"/>
        <d v="2019-08-19T00:00:00"/>
        <d v="2019-11-26T00:00:00"/>
        <d v="2019-08-18T00:00:00"/>
        <d v="2019-04-13T00:00:00"/>
        <d v="2019-03-24T00:00:00"/>
        <d v="2019-02-11T00:00:00"/>
        <d v="2019-08-03T00:00:00"/>
        <d v="2019-05-04T00:00:00"/>
        <d v="2019-06-30T00:00:00"/>
        <d v="2019-01-23T00:00:00"/>
        <d v="2019-01-25T00:00:00"/>
        <d v="2019-09-23T00:00:00"/>
        <d v="2019-08-07T00:00:00"/>
        <d v="2019-07-27T00:00:00"/>
        <d v="2019-10-18T00:00:00"/>
        <d v="2019-03-11T00:00:00"/>
        <d v="2019-03-22T00:00:00"/>
        <d v="2019-12-15T00:00:00"/>
        <d v="2019-03-28T00:00:00"/>
        <d v="2019-12-19T00:00:00"/>
        <d v="2019-03-08T00:00:00"/>
        <d v="2019-07-21T00:00:00"/>
        <d v="2019-02-25T00:00:00"/>
        <d v="2019-02-07T00:00:00"/>
        <d v="2019-11-10T00:00:00"/>
        <d v="2019-01-09T00:00:00"/>
        <d v="2019-10-26T00:00:00"/>
        <d v="2019-06-10T00:00:00"/>
        <d v="2019-12-06T00:00:00"/>
        <d v="2019-04-26T00:00:00"/>
        <d v="2019-12-13T00:00:00"/>
        <d v="2019-01-31T00:00:00"/>
        <d v="2019-05-29T00:00:00"/>
      </sharedItems>
      <fieldGroup base="1">
        <rangePr groupBy="months" startDate="2019-01-09T00:00:00" endDate="2019-12-26T00:00:00" groupInterval="1"/>
        <groupItems count="14">
          <s v="&lt;1/9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6/2019"/>
        </groupItems>
      </fieldGroup>
    </cacheField>
    <cacheField name="Ship Date" numFmtId="178">
      <sharedItems containsSemiMixedTypes="0" containsString="0" containsNonDate="0" containsDate="1" minDate="2019-01-12T00:00:00" maxDate="2019-12-27T00:00:00" count="127">
        <d v="2019-11-25T00:00:00"/>
        <d v="2019-05-05T00:00:00"/>
        <d v="2019-03-23T00:00:00"/>
        <d v="2019-07-14T00:00:00"/>
        <d v="2019-02-25T00:00:00"/>
        <d v="2019-05-08T00:00:00"/>
        <d v="2019-04-24T00:00:00"/>
        <d v="2019-08-13T00:00:00"/>
        <d v="2019-11-06T00:00:00"/>
        <d v="2019-08-22T00:00:00"/>
        <d v="2019-09-30T00:00:00"/>
        <d v="2019-02-10T00:00:00"/>
        <d v="2019-12-13T00:00:00"/>
        <d v="2019-11-21T00:00:00"/>
        <d v="2019-10-25T00:00:00"/>
        <d v="2019-11-28T00:00:00"/>
        <d v="2019-05-09T00:00:00"/>
        <d v="2019-03-30T00:00:00"/>
        <d v="2019-10-06T00:00:00"/>
        <d v="2019-02-06T00:00:00"/>
        <d v="2019-04-18T00:00:00"/>
        <d v="2019-04-25T00:00:00"/>
        <d v="2019-10-14T00:00:00"/>
        <d v="2019-11-24T00:00:00"/>
        <d v="2019-07-07T00:00:00"/>
        <d v="2019-04-05T00:00:00"/>
        <d v="2019-08-31T00:00:00"/>
        <d v="2019-09-22T00:00:00"/>
        <d v="2019-09-20T00:00:00"/>
        <d v="2019-02-08T00:00:00"/>
        <d v="2019-12-11T00:00:00"/>
        <d v="2019-08-17T00:00:00"/>
        <d v="2019-04-14T00:00:00"/>
        <d v="2019-12-03T00:00:00"/>
        <d v="2019-08-20T00:00:00"/>
        <d v="2019-05-25T00:00:00"/>
        <d v="2019-10-26T00:00:00"/>
        <d v="2019-09-07T00:00:00"/>
        <d v="2019-11-05T00:00:00"/>
        <d v="2019-07-17T00:00:00"/>
        <d v="2019-04-01T00:00:00"/>
        <d v="2019-11-20T00:00:00"/>
        <d v="2019-06-25T00:00:00"/>
        <d v="2019-10-07T00:00:00"/>
        <d v="2019-09-24T00:00:00"/>
        <d v="2019-04-28T00:00:00"/>
        <d v="2019-08-24T00:00:00"/>
        <d v="2019-05-27T00:00:00"/>
        <d v="2019-02-02T00:00:00"/>
        <d v="2019-09-03T00:00:00"/>
        <d v="2019-11-15T00:00:00"/>
        <d v="2019-05-17T00:00:00"/>
        <d v="2019-05-31T00:00:00"/>
        <d v="2019-03-15T00:00:00"/>
        <d v="2019-09-14T00:00:00"/>
        <d v="2019-12-14T00:00:00"/>
        <d v="2019-06-23T00:00:00"/>
        <d v="2019-06-16T00:00:00"/>
        <d v="2019-02-19T00:00:00"/>
        <d v="2019-05-28T00:00:00"/>
        <d v="2019-12-02T00:00:00"/>
        <d v="2019-12-04T00:00:00"/>
        <d v="2019-09-12T00:00:00"/>
        <d v="2019-06-04T00:00:00"/>
        <d v="2019-02-15T00:00:00"/>
        <d v="2019-08-30T00:00:00"/>
        <d v="2019-02-26T00:00:00"/>
        <d v="2019-09-15T00:00:00"/>
        <d v="2019-01-23T00:00:00"/>
        <d v="2019-05-22T00:00:00"/>
        <d v="2019-10-16T00:00:00"/>
        <d v="2019-06-09T00:00:00"/>
        <d v="2019-03-25T00:00:00"/>
        <d v="2019-12-21T00:00:00"/>
        <d v="2019-06-22T00:00:00"/>
        <d v="2019-03-18T00:00:00"/>
        <d v="2019-03-10T00:00:00"/>
        <d v="2019-12-09T00:00:00"/>
        <d v="2019-06-19T00:00:00"/>
        <d v="2019-12-27T00:00:00"/>
        <d v="2019-05-14T00:00:00"/>
        <d v="2019-10-20T00:00:00"/>
        <d v="2019-04-21T00:00:00"/>
        <d v="2019-12-06T00:00:00"/>
        <d v="2019-11-22T00:00:00"/>
        <d v="2019-03-03T00:00:00"/>
        <d v="2019-06-06T00:00:00"/>
        <d v="2019-12-12T00:00:00"/>
        <d v="2019-08-05T00:00:00"/>
        <d v="2019-07-30T00:00:00"/>
        <d v="2019-07-01T00:00:00"/>
        <d v="2019-11-23T00:00:00"/>
        <d v="2019-02-21T00:00:00"/>
        <d v="2019-05-29T00:00:00"/>
        <d v="2019-12-08T00:00:00"/>
        <d v="2019-11-29T00:00:00"/>
        <d v="2019-06-28T00:00:00"/>
        <d v="2019-03-27T00:00:00"/>
        <d v="2019-02-14T00:00:00"/>
        <d v="2019-09-02T00:00:00"/>
        <d v="2019-08-08T00:00:00"/>
        <d v="2019-07-05T00:00:00"/>
        <d v="2019-01-25T00:00:00"/>
        <d v="2019-01-28T00:00:00"/>
        <d v="2019-09-26T00:00:00"/>
        <d v="2019-08-09T00:00:00"/>
        <d v="2019-10-19T00:00:00"/>
        <d v="2019-03-01T00:00:00"/>
        <d v="2019-03-12T00:00:00"/>
        <d v="2019-03-24T00:00:00"/>
        <d v="2019-10-12T00:00:00"/>
        <d v="2019-12-20T00:00:00"/>
        <d v="2019-04-02T00:00:00"/>
        <d v="2019-10-24T00:00:00"/>
        <d v="2019-03-11T00:00:00"/>
        <d v="2019-07-26T00:00:00"/>
        <d v="2019-02-11T00:00:00"/>
        <d v="2019-04-17T00:00:00"/>
        <d v="2019-11-13T00:00:00"/>
        <d v="2019-01-12T00:00:00"/>
        <d v="2019-10-30T00:00:00"/>
        <d v="2019-06-14T00:00:00"/>
        <d v="2019-12-10T00:00:00"/>
        <d v="2019-04-29T00:00:00"/>
        <d v="2019-12-18T00:00:00"/>
        <d v="2019-02-01T00:00:00"/>
        <d v="2019-05-30T00:00:00"/>
      </sharedItems>
    </cacheField>
    <cacheField name="Ship Mode" numFmtId="0">
      <sharedItems count="4">
        <s v="Standard Class"/>
        <s v="First Class"/>
        <s v="Same Day"/>
        <s v="Second Class"/>
      </sharedItems>
    </cacheField>
    <cacheField name="Customer ID" numFmtId="0">
      <sharedItems count="150">
        <s v="CG-46048"/>
        <s v="CG-83563"/>
        <s v="CG-23396"/>
        <s v="CG-92397"/>
        <s v="CG-69429"/>
        <s v="CG-59735"/>
        <s v="CG-37869"/>
        <s v="CG-57447"/>
        <s v="CG-82512"/>
        <s v="CG-75612"/>
        <s v="CG-74042"/>
        <s v="CG-26828"/>
        <s v="CG-77839"/>
        <s v="CG-18834"/>
        <s v="CG-41850"/>
        <s v="CG-62772"/>
        <s v="CG-82132"/>
        <s v="CG-61173"/>
        <s v="CG-17492"/>
        <s v="CG-25713"/>
        <s v="CG-44814"/>
        <s v="CG-27361"/>
        <s v="CG-27601"/>
        <s v="CG-42914"/>
        <s v="CG-24663"/>
        <s v="CG-37535"/>
        <s v="CG-33509"/>
        <s v="CG-70332"/>
        <s v="CG-13617"/>
        <s v="CG-85574"/>
        <s v="CG-96951"/>
        <s v="CG-90676"/>
        <s v="CG-32241"/>
        <s v="CG-16057"/>
        <s v="CG-65724"/>
        <s v="CG-81810"/>
        <s v="CG-47450"/>
        <s v="CG-53369"/>
        <s v="CG-10772"/>
        <s v="CG-54057"/>
        <s v="CG-21003"/>
        <s v="CG-43065"/>
        <s v="CG-91439"/>
        <s v="CG-31465"/>
        <s v="CG-49529"/>
        <s v="CG-74251"/>
        <s v="CG-67091"/>
        <s v="CG-13761"/>
        <s v="CG-41635"/>
        <s v="CG-50135"/>
        <s v="CG-42951"/>
        <s v="CG-23176"/>
        <s v="CG-26551"/>
        <s v="CG-62521"/>
        <s v="CG-69049"/>
        <s v="CG-41439"/>
        <s v="CG-19329"/>
        <s v="CG-31747"/>
        <s v="CG-88385"/>
        <s v="CG-32962"/>
        <s v="CG-31079"/>
        <s v="CG-77449"/>
        <s v="CG-47752"/>
        <s v="CG-70482"/>
        <s v="CG-60277"/>
        <s v="CG-29476"/>
        <s v="CG-40613"/>
        <s v="CG-14852"/>
        <s v="CG-71537"/>
        <s v="CG-90931"/>
        <s v="CG-52516"/>
        <s v="CG-91226"/>
        <s v="CG-19681"/>
        <s v="CG-84963"/>
        <s v="CG-89569"/>
        <s v="CG-27224"/>
        <s v="CG-73156"/>
        <s v="CG-61717"/>
        <s v="CG-89964"/>
        <s v="CG-22739"/>
        <s v="CG-74139"/>
        <s v="CG-17936"/>
        <s v="CG-84000"/>
        <s v="CG-32871"/>
        <s v="CG-18330"/>
        <s v="CG-70036"/>
        <s v="CG-18609"/>
        <s v="CG-66370"/>
        <s v="CG-72163"/>
        <s v="CG-97819"/>
        <s v="CG-39392"/>
        <s v="CG-33647"/>
        <s v="CG-79531"/>
        <s v="CG-98338"/>
        <s v="CG-24534"/>
        <s v="CG-43491"/>
        <s v="CG-62044"/>
        <s v="CG-63088"/>
        <s v="CG-61873"/>
        <s v="CG-40968"/>
        <s v="CG-83889"/>
        <s v="CG-87518"/>
        <s v="CG-70648"/>
        <s v="CG-21053"/>
        <s v="CG-54350"/>
        <s v="CG-53694"/>
        <s v="CG-97833"/>
        <s v="CG-39693"/>
        <s v="CG-30218"/>
        <s v="CG-50562"/>
        <s v="CG-42768"/>
        <s v="CG-77286"/>
        <s v="CG-13694"/>
        <s v="CG-20384"/>
        <s v="CG-18232"/>
        <s v="CG-34551"/>
        <s v="CG-58929"/>
        <s v="CG-94252"/>
        <s v="CG-51365"/>
        <s v="CG-26315"/>
        <s v="CG-65640"/>
        <s v="CG-56077"/>
        <s v="CG-14081"/>
        <s v="CG-99006"/>
        <s v="CG-75410"/>
        <s v="CG-32630"/>
        <s v="CG-76683"/>
        <s v="CG-18617"/>
        <s v="CG-26821"/>
        <s v="CG-55353"/>
        <s v="CG-32439"/>
        <s v="CG-75278"/>
        <s v="CG-67619"/>
        <s v="CG-51827"/>
        <s v="CG-52917"/>
        <s v="CG-41552"/>
        <s v="CG-44664"/>
        <s v="CG-82070"/>
        <s v="CG-75546"/>
        <s v="CG-61505"/>
        <s v="CG-98317"/>
        <s v="CG-78712"/>
        <s v="CG-64127"/>
        <s v="CG-51124"/>
        <s v="CG-37168"/>
        <s v="CG-61712"/>
        <s v="CG-27992"/>
        <s v="CG-10679"/>
        <s v="CG-80143"/>
        <s v="CG-49110"/>
      </sharedItems>
    </cacheField>
    <cacheField name="Customer Name" numFmtId="0">
      <sharedItems count="46">
        <s v="Customer 16"/>
        <s v="Customer 13"/>
        <s v="Customer 6"/>
        <s v="Customer 40"/>
        <s v="Customer 41"/>
        <s v="Customer 18"/>
        <s v="Customer 42"/>
        <s v="Customer 15"/>
        <s v="Customer 1"/>
        <s v="Customer 49"/>
        <s v="Customer 2"/>
        <s v="Customer 43"/>
        <s v="Customer 29"/>
        <s v="Customer 3"/>
        <s v="Customer 31"/>
        <s v="Customer 47"/>
        <s v="Customer 7"/>
        <s v="Customer 17"/>
        <s v="Customer 4"/>
        <s v="Customer 37"/>
        <s v="Customer 26"/>
        <s v="Customer 23"/>
        <s v="Customer 5"/>
        <s v="Customer 44"/>
        <s v="Customer 48"/>
        <s v="Customer 8"/>
        <s v="Customer 35"/>
        <s v="Customer 10"/>
        <s v="Customer 20"/>
        <s v="Customer 32"/>
        <s v="Customer 12"/>
        <s v="Customer 22"/>
        <s v="Customer 50"/>
        <s v="Customer 9"/>
        <s v="Customer 19"/>
        <s v="Customer 14"/>
        <s v="Customer 38"/>
        <s v="Customer 33"/>
        <s v="Customer 45"/>
        <s v="Customer 11"/>
        <s v="Customer 21"/>
        <s v="Customer 24"/>
        <s v="Customer 34"/>
        <s v="Customer 46"/>
        <s v="Customer 27"/>
        <s v="Customer 36"/>
      </sharedItems>
    </cacheField>
    <cacheField name="Segment" numFmtId="0">
      <sharedItems count="3">
        <s v="Consumer"/>
        <s v="Home Office"/>
        <s v="Corporate"/>
      </sharedItems>
    </cacheField>
    <cacheField name="Country" numFmtId="0">
      <sharedItems count="1">
        <s v="United States"/>
      </sharedItems>
    </cacheField>
    <cacheField name="City" numFmtId="0">
      <sharedItems count="4">
        <s v="California City"/>
        <s v="Texas City"/>
        <s v="New York City"/>
        <s v="Illinois City"/>
      </sharedItems>
    </cacheField>
    <cacheField name="State" numFmtId="0">
      <sharedItems count="4">
        <s v="California"/>
        <s v="Texas"/>
        <s v="New York"/>
        <s v="Illinois"/>
      </sharedItems>
    </cacheField>
    <cacheField name="Postal Code" numFmtId="0">
      <sharedItems containsSemiMixedTypes="0" containsString="0" containsNumber="1" containsInteger="1" minValue="10001" maxValue="10001" count="1">
        <n v="10001"/>
      </sharedItems>
    </cacheField>
    <cacheField name="Region" numFmtId="0">
      <sharedItems count="4">
        <s v="West"/>
        <s v="South"/>
        <s v="East"/>
        <s v="Central"/>
      </sharedItems>
    </cacheField>
    <cacheField name="Product ID" numFmtId="0">
      <sharedItems count="150">
        <s v="OFF-PAP-9935"/>
        <s v="TEC-ACC-5557"/>
        <s v="FUR-TAB-5333"/>
        <s v="OFF-PAP-1750"/>
        <s v="FUR-TAB-4432"/>
        <s v="OFF-ART-1916"/>
        <s v="OFF-LAB-3340"/>
        <s v="TEC-PHO-2796"/>
        <s v="OFF-STO-5371"/>
        <s v="OFF-ART-9317"/>
        <s v="FUR-BOO-1949"/>
        <s v="FUR-FUR-7932"/>
        <s v="TEC-PHO-6539"/>
        <s v="OFF-BIN-5562"/>
        <s v="TEC-PHO-8062"/>
        <s v="TEC-CHA-4116"/>
        <s v="TEC-CHA-3724"/>
        <s v="FUR-FUR-8973"/>
        <s v="OFF-STO-3579"/>
        <s v="OFF-PAP-7868"/>
        <s v="FUR-TAB-2188"/>
        <s v="FUR-TAB-3584"/>
        <s v="OFF-STO-3546"/>
        <s v="FUR-BOO-1058"/>
        <s v="OFF-PAP-7049"/>
        <s v="FUR-FUR-7658"/>
        <s v="OFF-BIN-5371"/>
        <s v="TEC-PHO-4164"/>
        <s v="OFF-ART-1626"/>
        <s v="OFF-LAB-1027"/>
        <s v="OFF-ART-7691"/>
        <s v="OFF-PAP-5978"/>
        <s v="OFF-STO-6491"/>
        <s v="FUR-TAB-4185"/>
        <s v="TEC-CHA-2988"/>
        <s v="FUR-TAB-5050"/>
        <s v="FUR-FUR-2320"/>
        <s v="TEC-CHA-7883"/>
        <s v="FUR-FUR-9947"/>
        <s v="OFF-BIN-8657"/>
        <s v="FUR-BOO-1823"/>
        <s v="OFF-STO-1853"/>
        <s v="FUR-FUR-2874"/>
        <s v="FUR-FUR-7149"/>
        <s v="OFF-PAP-6688"/>
        <s v="OFF-LAB-3506"/>
        <s v="FUR-BOO-2419"/>
        <s v="FUR-BOO-6813"/>
        <s v="OFF-BIN-8800"/>
        <s v="FUR-FUR-9698"/>
        <s v="FUR-BOO-9779"/>
        <s v="FUR-BOO-5952"/>
        <s v="TEC-MAC-8690"/>
        <s v="TEC-CHA-5978"/>
        <s v="FUR-FUR-1986"/>
        <s v="TEC-PHO-7693"/>
        <s v="OFF-STO-4241"/>
        <s v="FUR-BOO-8679"/>
        <s v="OFF-ART-1423"/>
        <s v="FUR-BOO-8141"/>
        <s v="FUR-FUR-7561"/>
        <s v="FUR-BOO-4073"/>
        <s v="TEC-PHO-4920"/>
        <s v="FUR-FUR-5781"/>
        <s v="TEC-MAC-7798"/>
        <s v="FUR-TAB-9903"/>
        <s v="FUR-FUR-8749"/>
        <s v="TEC-ACC-2633"/>
        <s v="OFF-PAP-6383"/>
        <s v="TEC-PHO-8110"/>
        <s v="FUR-TAB-3385"/>
        <s v="OFF-BIN-4804"/>
        <s v="OFF-LAB-5097"/>
        <s v="OFF-ART-1359"/>
        <s v="OFF-ART-3240"/>
        <s v="OFF-LAB-3877"/>
        <s v="TEC-ACC-2233"/>
        <s v="FUR-TAB-5295"/>
        <s v="OFF-LAB-5951"/>
        <s v="FUR-TAB-7078"/>
        <s v="TEC-MAC-4559"/>
        <s v="TEC-ACC-2501"/>
        <s v="OFF-BIN-4817"/>
        <s v="TEC-PHO-6869"/>
        <s v="OFF-STO-2786"/>
        <s v="FUR-TAB-7984"/>
        <s v="FUR-FUR-9692"/>
        <s v="FUR-TAB-7532"/>
        <s v="TEC-ACC-2582"/>
        <s v="OFF-LAB-1842"/>
        <s v="TEC-MAC-4705"/>
        <s v="FUR-TAB-1100"/>
        <s v="FUR-TAB-3578"/>
        <s v="OFF-LAB-8957"/>
        <s v="OFF-ART-1744"/>
        <s v="TEC-ACC-8055"/>
        <s v="TEC-ACC-2275"/>
        <s v="OFF-LAB-6928"/>
        <s v="TEC-MAC-3754"/>
        <s v="TEC-CHA-3504"/>
        <s v="OFF-STO-6295"/>
        <s v="FUR-TAB-8404"/>
        <s v="FUR-FUR-4084"/>
        <s v="TEC-CHA-8172"/>
        <s v="OFF-ART-2079"/>
        <s v="FUR-TAB-7421"/>
        <s v="OFF-LAB-9331"/>
        <s v="FUR-BOO-9317"/>
        <s v="OFF-LAB-1715"/>
        <s v="OFF-STO-8218"/>
        <s v="FUR-FUR-2680"/>
        <s v="TEC-ACC-6727"/>
        <s v="TEC-CHA-1627"/>
        <s v="TEC-ACC-2821"/>
        <s v="OFF-STO-4963"/>
        <s v="OFF-ART-2108"/>
        <s v="FUR-BOO-6649"/>
        <s v="OFF-LAB-3986"/>
        <s v="OFF-LAB-5150"/>
        <s v="OFF-LAB-7334"/>
        <s v="OFF-ART-6262"/>
        <s v="OFF-LAB-5498"/>
        <s v="TEC-CHA-2101"/>
        <s v="FUR-BOO-3255"/>
        <s v="FUR-TAB-8311"/>
        <s v="OFF-ART-6692"/>
        <s v="TEC-CHA-9094"/>
        <s v="OFF-LAB-7708"/>
        <s v="TEC-ACC-9238"/>
        <s v="FUR-BOO-5496"/>
        <s v="OFF-PAP-1464"/>
        <s v="OFF-ART-8912"/>
        <s v="TEC-MAC-3353"/>
        <s v="FUR-TAB-5061"/>
        <s v="TEC-CHA-9163"/>
        <s v="TEC-PHO-5609"/>
        <s v="FUR-BOO-7563"/>
        <s v="TEC-PHO-7453"/>
        <s v="TEC-MAC-8761"/>
        <s v="OFF-ART-9311"/>
        <s v="OFF-PAP-8775"/>
        <s v="TEC-CHA-1517"/>
        <s v="OFF-STO-8726"/>
        <s v="OFF-ART-5331"/>
        <s v="FUR-TAB-6714"/>
        <s v="TEC-MAC-2294"/>
        <s v="TEC-PHO-9700"/>
        <s v="OFF-LAB-8822"/>
        <s v="TEC-ACC-3880"/>
        <s v="FUR-TAB-8444"/>
      </sharedItems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 count="12">
        <s v="Paper"/>
        <s v="Accessories"/>
        <s v="Tables"/>
        <s v="Art"/>
        <s v="Labels"/>
        <s v="Phones"/>
        <s v="Storage"/>
        <s v="Bookcases"/>
        <s v="Furnishings"/>
        <s v="Binders"/>
        <s v="Chairs"/>
        <s v="Machines"/>
      </sharedItems>
    </cacheField>
    <cacheField name="Product Name" numFmtId="0">
      <sharedItems count="144">
        <s v="Paper Item 12"/>
        <s v="Accessories Item 1"/>
        <s v="Tables Item 6"/>
        <s v="Paper Item 85"/>
        <s v="Tables Item 86"/>
        <s v="Art Item 30"/>
        <s v="Labels Item 34"/>
        <s v="Phones Item 20"/>
        <s v="Storage Item 99"/>
        <s v="Art Item 78"/>
        <s v="Bookcases Item 31"/>
        <s v="Furnishings Item 28"/>
        <s v="Phones Item 3"/>
        <s v="Binders Item 86"/>
        <s v="Phones Item 46"/>
        <s v="Chairs Item 69"/>
        <s v="Chairs Item 53"/>
        <s v="Furnishings Item 20"/>
        <s v="Storage Item 8"/>
        <s v="Tables Item 2"/>
        <s v="Tables Item 57"/>
        <s v="Storage Item 35"/>
        <s v="Bookcases Item 43"/>
        <s v="Paper Item 75"/>
        <s v="Furnishings Item 80"/>
        <s v="Binders Item 21"/>
        <s v="Phones Item 52"/>
        <s v="Art Item 14"/>
        <s v="Labels Item 67"/>
        <s v="Art Item 42"/>
        <s v="Paper Item 37"/>
        <s v="Storage Item 12"/>
        <s v="Tables Item 92"/>
        <s v="Chairs Item 59"/>
        <s v="Tables Item 82"/>
        <s v="Furnishings Item 18"/>
        <s v="Chairs Item 50"/>
        <s v="Furnishings Item 78"/>
        <s v="Binders Item 17"/>
        <s v="Bookcases Item 34"/>
        <s v="Storage Item 45"/>
        <s v="Furnishings Item 73"/>
        <s v="Furnishings Item 51"/>
        <s v="Paper Item 69"/>
        <s v="Labels Item 56"/>
        <s v="Bookcases Item 36"/>
        <s v="Binders Item 83"/>
        <s v="Furnishings Item 45"/>
        <s v="Bookcases Item 98"/>
        <s v="Bookcases Item 2"/>
        <s v="Machines Item 62"/>
        <s v="Chairs Item 11"/>
        <s v="Furnishings Item 79"/>
        <s v="Phones Item 58"/>
        <s v="Storage Item 55"/>
        <s v="Bookcases Item 89"/>
        <s v="Art Item 12"/>
        <s v="Bookcases Item 82"/>
        <s v="Furnishings Item 98"/>
        <s v="Bookcases Item 67"/>
        <s v="Phones Item 91"/>
        <s v="Furnishings Item 66"/>
        <s v="Machines Item 44"/>
        <s v="Tables Item 49"/>
        <s v="Furnishings Item 91"/>
        <s v="Accessories Item 68"/>
        <s v="Paper Item 87"/>
        <s v="Phones Item 13"/>
        <s v="Tables Item 32"/>
        <s v="Binders Item 60"/>
        <s v="Labels Item 59"/>
        <s v="Art Item 85"/>
        <s v="Art Item 81"/>
        <s v="Labels Item 26"/>
        <s v="Accessories Item 19"/>
        <s v="Tables Item 75"/>
        <s v="Labels Item 84"/>
        <s v="Machines Item 57"/>
        <s v="Accessories Item 85"/>
        <s v="Binders Item 43"/>
        <s v="Phones Item 31"/>
        <s v="Storage Item 58"/>
        <s v="Tables Item 88"/>
        <s v="Furnishings Item 38"/>
        <s v="Tables Item 54"/>
        <s v="Accessories Item 96"/>
        <s v="Labels Item 37"/>
        <s v="Machines Item 55"/>
        <s v="Tables Item 24"/>
        <s v="Tables Item 48"/>
        <s v="Labels Item 78"/>
        <s v="Art Item 29"/>
        <s v="Accessories Item 23"/>
        <s v="Accessories Item 41"/>
        <s v="Labels Item 12"/>
        <s v="Machines Item 10"/>
        <s v="Chairs Item 98"/>
        <s v="Storage Item 81"/>
        <s v="Tables Item 5"/>
        <s v="Furnishings Item 42"/>
        <s v="Chairs Item 57"/>
        <s v="Art Item 43"/>
        <s v="Tables Item 17"/>
        <s v="Labels Item 47"/>
        <s v="Bookcases Item 99"/>
        <s v="Labels Item 53"/>
        <s v="Storage Item 60"/>
        <s v="Furnishings Item 92"/>
        <s v="Accessories Item 4"/>
        <s v="Chairs Item 37"/>
        <s v="Accessories Item 100"/>
        <s v="Storage Item 92"/>
        <s v="Art Item 68"/>
        <s v="Labels Item 18"/>
        <s v="Labels Item 5"/>
        <s v="Labels Item 44"/>
        <s v="Labels Item 82"/>
        <s v="Chairs Item 31"/>
        <s v="Bookcases Item 68"/>
        <s v="Tables Item 28"/>
        <s v="Art Item 91"/>
        <s v="Chairs Item 4"/>
        <s v="Labels Item 74"/>
        <s v="Accessories Item 8"/>
        <s v="Bookcases Item 17"/>
        <s v="Paper Item 11"/>
        <s v="Art Item 32"/>
        <s v="Machines Item 41"/>
        <s v="Tables Item 19"/>
        <s v="Chairs Item 66"/>
        <s v="Phones Item 64"/>
        <s v="Bookcases Item 7"/>
        <s v="Phones Item 48"/>
        <s v="Machines Item 67"/>
        <s v="Art Item 66"/>
        <s v="Paper Item 34"/>
        <s v="Chairs Item 74"/>
        <s v="Storage Item 95"/>
        <s v="Art Item 79"/>
        <s v="Tables Item 72"/>
        <s v="Machines Item 45"/>
        <s v="Phones Item 29"/>
        <s v="Accessories Item 5"/>
        <s v="Tables Item 83"/>
      </sharedItems>
    </cacheField>
    <cacheField name="Sales" numFmtId="4">
      <sharedItems containsSemiMixedTypes="0" containsString="0" containsNumber="1" minValue="46.98" maxValue="1495.81" count="150">
        <n v="893.93"/>
        <n v="1143.03"/>
        <n v="1100"/>
        <n v="357.29"/>
        <n v="415.13"/>
        <n v="1236.27"/>
        <n v="226.65"/>
        <n v="948.62"/>
        <n v="968.62"/>
        <n v="314.39"/>
        <n v="1319.45"/>
        <n v="1394.79"/>
        <n v="890.7"/>
        <n v="738.41"/>
        <n v="646.9"/>
        <n v="683.95"/>
        <n v="738.75"/>
        <n v="301.05"/>
        <n v="1441.95"/>
        <n v="883.83"/>
        <n v="698.26"/>
        <n v="1253.94"/>
        <n v="437"/>
        <n v="1161.26"/>
        <n v="837.74"/>
        <n v="1129.23"/>
        <n v="1185.31"/>
        <n v="505.83"/>
        <n v="902.93"/>
        <n v="1389.85"/>
        <n v="615.55"/>
        <n v="331.07"/>
        <n v="1231.27"/>
        <n v="1050.6"/>
        <n v="217.34"/>
        <n v="430.42"/>
        <n v="243.23"/>
        <n v="1359.16"/>
        <n v="1348.76"/>
        <n v="1471.47"/>
        <n v="581.07"/>
        <n v="351.85"/>
        <n v="1422.68"/>
        <n v="1413.38"/>
        <n v="654"/>
        <n v="280.68"/>
        <n v="1324.81"/>
        <n v="523.7"/>
        <n v="1073.53"/>
        <n v="649.75"/>
        <n v="1041.44"/>
        <n v="1067.87"/>
        <n v="671.89"/>
        <n v="1491"/>
        <n v="1440.96"/>
        <n v="1040.27"/>
        <n v="189.87"/>
        <n v="470.05"/>
        <n v="358.81"/>
        <n v="1225.08"/>
        <n v="834.14"/>
        <n v="555.43"/>
        <n v="254.4"/>
        <n v="1064.01"/>
        <n v="1402.69"/>
        <n v="693.91"/>
        <n v="1371.88"/>
        <n v="1367.45"/>
        <n v="1291.83"/>
        <n v="1145.35"/>
        <n v="806.13"/>
        <n v="964.1"/>
        <n v="1271.05"/>
        <n v="605.79"/>
        <n v="163.8"/>
        <n v="215.6"/>
        <n v="1136.14"/>
        <n v="583.92"/>
        <n v="624.28"/>
        <n v="1425.08"/>
        <n v="678.15"/>
        <n v="333.92"/>
        <n v="1166.07"/>
        <n v="891.5"/>
        <n v="765.68"/>
        <n v="179.78"/>
        <n v="691.5"/>
        <n v="1099.83"/>
        <n v="1113.42"/>
        <n v="908.61"/>
        <n v="1270.83"/>
        <n v="1307.4"/>
        <n v="481.22"/>
        <n v="674.23"/>
        <n v="604.99"/>
        <n v="211.19"/>
        <n v="872.12"/>
        <n v="666.33"/>
        <n v="775.52"/>
        <n v="1143.55"/>
        <n v="487.89"/>
        <n v="104.2"/>
        <n v="915.41"/>
        <n v="795.62"/>
        <n v="159.87"/>
        <n v="900.66"/>
        <n v="46.98"/>
        <n v="818.86"/>
        <n v="559.16"/>
        <n v="1158.77"/>
        <n v="1271.92"/>
        <n v="634.05"/>
        <n v="1377.75"/>
        <n v="446.39"/>
        <n v="232.49"/>
        <n v="825.24"/>
        <n v="1104.75"/>
        <n v="113.39"/>
        <n v="1134.87"/>
        <n v="1461.11"/>
        <n v="138.5"/>
        <n v="1470.44"/>
        <n v="1172.2"/>
        <n v="563.09"/>
        <n v="1494.62"/>
        <n v="116.11"/>
        <n v="554.13"/>
        <n v="129.15"/>
        <n v="1250.46"/>
        <n v="945.03"/>
        <n v="87.28"/>
        <n v="1210.94"/>
        <n v="1295"/>
        <n v="163.28"/>
        <n v="710.89"/>
        <n v="904.33"/>
        <n v="864.02"/>
        <n v="1196.45"/>
        <n v="696.34"/>
        <n v="807.86"/>
        <n v="1451.26"/>
        <n v="1423.34"/>
        <n v="1096.56"/>
        <n v="736.59"/>
        <n v="1401.88"/>
        <n v="1387.53"/>
        <n v="964.16"/>
        <n v="315.19"/>
        <n v="1495.81"/>
        <n v="824.08"/>
      </sharedItems>
    </cacheField>
    <cacheField name="Quantity" numFmtId="3">
      <sharedItems containsSemiMixedTypes="0" containsString="0" containsNumber="1" containsInteger="1" minValue="1" maxValue="10" count="10">
        <n v="1"/>
        <n v="3"/>
        <n v="9"/>
        <n v="5"/>
        <n v="2"/>
        <n v="6"/>
        <n v="7"/>
        <n v="4"/>
        <n v="8"/>
        <n v="10"/>
      </sharedItems>
    </cacheField>
    <cacheField name="Discount" numFmtId="179">
      <sharedItems containsSemiMixedTypes="0" containsString="0" containsNumber="1" minValue="0" maxValue="0.3" count="4">
        <n v="0"/>
        <n v="0.3"/>
        <n v="0.1"/>
        <n v="0.2"/>
      </sharedItems>
    </cacheField>
    <cacheField name="Profit" numFmtId="4">
      <sharedItems containsSemiMixedTypes="0" containsString="0" containsNumber="1" minValue="-130.2" maxValue="473.01" count="150">
        <n v="-51.7"/>
        <n v="60.71"/>
        <n v="371.69"/>
        <n v="101.79"/>
        <n v="58.27"/>
        <n v="25.32"/>
        <n v="53.52"/>
        <n v="69.39"/>
        <n v="92.64"/>
        <n v="44.87"/>
        <n v="302.63"/>
        <n v="110.95"/>
        <n v="-86.19"/>
        <n v="166.52"/>
        <n v="131.33"/>
        <n v="17.33"/>
        <n v="226.13"/>
        <n v="48.36"/>
        <n v="-99.73"/>
        <n v="283.37"/>
        <n v="-46.81"/>
        <n v="251.46"/>
        <n v="-3.66"/>
        <n v="271.22"/>
        <n v="-68.01"/>
        <n v="383.14"/>
        <n v="346.67"/>
        <n v="29.35"/>
        <n v="87.02"/>
        <n v="88.81"/>
        <n v="-8.42"/>
        <n v="36.17"/>
        <n v="1.34"/>
        <n v="10.29"/>
        <n v="71.18"/>
        <n v="78.35"/>
        <n v="53"/>
        <n v="388.08"/>
        <n v="30.78"/>
        <n v="453.39"/>
        <n v="27.36"/>
        <n v="84.23"/>
        <n v="348.7"/>
        <n v="235.25"/>
        <n v="83.5"/>
        <n v="49.73"/>
        <n v="207.24"/>
        <n v="78.61"/>
        <n v="-62.4"/>
        <n v="37.89"/>
        <n v="242"/>
        <n v="-84.91"/>
        <n v="9.15"/>
        <n v="257.71"/>
        <n v="261.51"/>
        <n v="-88.75"/>
        <n v="58.63"/>
        <n v="58.86"/>
        <n v="125.51"/>
        <n v="69.32"/>
        <n v="34.64"/>
        <n v="134.41"/>
        <n v="37.78"/>
        <n v="362.94"/>
        <n v="377.67"/>
        <n v="236.87"/>
        <n v="473.01"/>
        <n v="115.54"/>
        <n v="235.19"/>
        <n v="-28.79"/>
        <n v="-18.95"/>
        <n v="192.9"/>
        <n v="360.98"/>
        <n v="187.66"/>
        <n v="41.75"/>
        <n v="29.94"/>
        <n v="380.92"/>
        <n v="118.93"/>
        <n v="203.4"/>
        <n v="234.15"/>
        <n v="-37.5"/>
        <n v="-25.79"/>
        <n v="28.89"/>
        <n v="17.31"/>
        <n v="174.01"/>
        <n v="54.77"/>
        <n v="-38.29"/>
        <n v="44.69"/>
        <n v="182.5"/>
        <n v="145.44"/>
        <n v="221.19"/>
        <n v="-89.8"/>
        <n v="143.16"/>
        <n v="161.63"/>
        <n v="-58.41"/>
        <n v="26.42"/>
        <n v="191.23"/>
        <n v="64"/>
        <n v="238.6"/>
        <n v="375.18"/>
        <n v="54.16"/>
        <n v="19.81"/>
        <n v="302.98"/>
        <n v="50.72"/>
        <n v="2.14"/>
        <n v="136.46"/>
        <n v="15.41"/>
        <n v="162.03"/>
        <n v="97.72"/>
        <n v="387.98"/>
        <n v="-79.18"/>
        <n v="3.87"/>
        <n v="332.7"/>
        <n v="-35.05"/>
        <n v="41.07"/>
        <n v="62.47"/>
        <n v="-44.15"/>
        <n v="3.63"/>
        <n v="68.82"/>
        <n v="95.42"/>
        <n v="13.94"/>
        <n v="297.08"/>
        <n v="84.73"/>
        <n v="6.94"/>
        <n v="-14.83"/>
        <n v="34.96"/>
        <n v="61.14"/>
        <n v="13.24"/>
        <n v="46.09"/>
        <n v="119.22"/>
        <n v="16.85"/>
        <n v="126.05"/>
        <n v="438.9"/>
        <n v="47.17"/>
        <n v="-63.67"/>
        <n v="127.97"/>
        <n v="128.7"/>
        <n v="286.83"/>
        <n v="33.14"/>
        <n v="91.86"/>
        <n v="326"/>
        <n v="-130.2"/>
        <n v="167.11"/>
        <n v="111.33"/>
        <n v="-63.3"/>
        <n v="-5.14"/>
        <n v="82.9"/>
        <n v="8.96"/>
        <n v="-24.17"/>
        <n v="233.2"/>
      </sharedItems>
    </cacheField>
    <cacheField name="Profit Margin" numFmtId="10">
      <sharedItems containsSemiMixedTypes="0" containsString="0" containsNumber="1" minValue="-0.0967665880767935" maxValue="0.349795156210808" count="150">
        <n v="-0.0578345060575213"/>
        <n v="0.0531132166259853"/>
        <n v="0.3379"/>
        <n v="0.284894623415153"/>
        <n v="0.140365668585744"/>
        <n v="0.0204809628964547"/>
        <n v="0.236135009927201"/>
        <n v="0.073148362885033"/>
        <n v="0.0956412215316636"/>
        <n v="0.142720824453704"/>
        <n v="0.229360718481185"/>
        <n v="0.0795460248496189"/>
        <n v="-0.0967665880767935"/>
        <n v="0.225511572161807"/>
        <n v="0.20301437625599"/>
        <n v="0.0253381095109292"/>
        <n v="0.306098138747885"/>
        <n v="0.160637767812656"/>
        <n v="-0.0691632858282187"/>
        <n v="0.320615955557064"/>
        <n v="-0.0670380660498955"/>
        <n v="0.20053591080913"/>
        <n v="-0.00837528604118993"/>
        <n v="0.233556653979298"/>
        <n v="-0.0811827058514575"/>
        <n v="0.339293146657457"/>
        <n v="0.292472011541285"/>
        <n v="0.0580234466124983"/>
        <n v="0.0963751342850498"/>
        <n v="0.0638989819045221"/>
        <n v="-0.0136788238160994"/>
        <n v="0.109251819856828"/>
        <n v="0.00108830719501003"/>
        <n v="0.00979440319817247"/>
        <n v="0.327505291248735"/>
        <n v="0.182031504112262"/>
        <n v="0.217900752374296"/>
        <n v="0.285529297507284"/>
        <n v="0.0228209614757259"/>
        <n v="0.308120450977594"/>
        <n v="0.0470855490732614"/>
        <n v="0.239391786272559"/>
        <n v="0.24510079568139"/>
        <n v="0.166444975873438"/>
        <n v="0.127675840978593"/>
        <n v="0.177176856206356"/>
        <n v="0.156429978638446"/>
        <n v="0.150105021959137"/>
        <n v="-0.0581259955473997"/>
        <n v="0.0583147364370912"/>
        <n v="0.23237056383469"/>
        <n v="-0.0795134239186418"/>
        <n v="0.013618300614684"/>
        <n v="0.172843729040912"/>
        <n v="0.181483177881412"/>
        <n v="-0.0853143895334865"/>
        <n v="0.308790224890715"/>
        <n v="0.125220721199872"/>
        <n v="0.349795156210808"/>
        <n v="0.0565840598165018"/>
        <n v="0.0415278010885463"/>
        <n v="0.241992690348019"/>
        <n v="0.148506289308176"/>
        <n v="0.341105816674655"/>
        <n v="0.26924694693767"/>
        <n v="0.34135550719834"/>
        <n v="0.344789631746217"/>
        <n v="0.0844930344802369"/>
        <n v="0.182059558920291"/>
        <n v="-0.0251364211812983"/>
        <n v="-0.0235073747410467"/>
        <n v="0.200082978944093"/>
        <n v="0.284001416152"/>
        <n v="0.309777315571403"/>
        <n v="0.254884004884005"/>
        <n v="0.13886827458256"/>
        <n v="0.335275582234584"/>
        <n v="0.203675160980956"/>
        <n v="0.32581533927084"/>
        <n v="0.16430656524546"/>
        <n v="-0.055297500552975"/>
        <n v="-0.0772340680402492"/>
        <n v="0.0247755280557771"/>
        <n v="0.0194167134043746"/>
        <n v="0.227262041583952"/>
        <n v="0.304650127934142"/>
        <n v="-0.0553723788864787"/>
        <n v="0.0406335524581072"/>
        <n v="0.163909396274542"/>
        <n v="0.160068676329778"/>
        <n v="0.174051604069781"/>
        <n v="-0.0686859415634083"/>
        <n v="0.297493869747725"/>
        <n v="0.239725316286727"/>
        <n v="-0.0965470503644688"/>
        <n v="0.125100620294522"/>
        <n v="0.219270283905885"/>
        <n v="0.0960485044947699"/>
        <n v="0.307664534763771"/>
        <n v="0.328083599317914"/>
        <n v="0.111008628994241"/>
        <n v="0.190115163147793"/>
        <n v="0.330977376257633"/>
        <n v="0.063749025916895"/>
        <n v="0.0133858760242697"/>
        <n v="0.151511114071903"/>
        <n v="0.328011919965943"/>
        <n v="0.197872652223823"/>
        <n v="0.174762143214822"/>
        <n v="0.334820542471759"/>
        <n v="-0.0622523429146487"/>
        <n v="0.00610361958836054"/>
        <n v="0.241480675013609"/>
        <n v="-0.0785187840229396"/>
        <n v="0.176652759258463"/>
        <n v="0.07569919053851"/>
        <n v="-0.0399637927132836"/>
        <n v="0.0320134050621748"/>
        <n v="0.0606413069338338"/>
        <n v="0.065306513541075"/>
        <n v="0.100649819494585"/>
        <n v="0.202034765104323"/>
        <n v="0.0722828868793721"/>
        <n v="0.0123248503791579"/>
        <n v="-0.00992225448609011"/>
        <n v="0.3010937903712"/>
        <n v="0.110335119917709"/>
        <n v="0.102516453735966"/>
        <n v="0.0368584360955169"/>
        <n v="0.126154725246818"/>
        <n v="0.193056828597617"/>
        <n v="0.104092688324772"/>
        <n v="0.338918918918919"/>
        <n v="0.288890249877511"/>
        <n v="-0.0895637862397839"/>
        <n v="0.141508077803457"/>
        <n v="0.148954885303581"/>
        <n v="0.239734213715575"/>
        <n v="0.0475916937128414"/>
        <n v="0.113707820661996"/>
        <n v="0.224632388407315"/>
        <n v="-0.0914749813818202"/>
        <n v="0.15239476180054"/>
        <n v="0.151142426587382"/>
        <n v="-0.0451536508117671"/>
        <n v="-0.00370442440884161"/>
        <n v="0.0859815798207766"/>
        <n v="0.0284272978203623"/>
        <n v="-0.0161584693243126"/>
        <n v="0.282982234734492"/>
      </sharedItems>
    </cacheField>
    <cacheField name="Sales Category" numFmtId="0">
      <sharedItems count="2">
        <s v="High Sales"/>
        <s v="Standard Sales"/>
      </sharedItems>
    </cacheField>
    <cacheField name="Month" numFmtId="0">
      <sharedItems count="12">
        <s v="Nov"/>
        <s v="Apr"/>
        <s v="Mar"/>
        <s v="Jul"/>
        <s v="Feb"/>
        <s v="May"/>
        <s v="Aug"/>
        <s v="Sep"/>
        <s v="Dec"/>
        <s v="Oct"/>
        <s v="Jun"/>
        <s v="Jan"/>
      </sharedItems>
    </cacheField>
    <cacheField name="Quarter" numFmtId="0">
      <sharedItems count="4">
        <s v="Q4"/>
        <s v="Q2"/>
        <s v="Q1"/>
        <s v="Q3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0"/>
    <x v="1"/>
    <x v="1"/>
    <x v="1"/>
    <x v="1"/>
    <x v="1"/>
    <x v="1"/>
    <x v="1"/>
    <x v="1"/>
    <x v="1"/>
    <x v="1"/>
    <x v="0"/>
    <x v="1"/>
    <x v="1"/>
  </r>
  <r>
    <x v="2"/>
    <x v="2"/>
    <x v="2"/>
    <x v="1"/>
    <x v="2"/>
    <x v="2"/>
    <x v="2"/>
    <x v="0"/>
    <x v="2"/>
    <x v="2"/>
    <x v="0"/>
    <x v="2"/>
    <x v="2"/>
    <x v="2"/>
    <x v="2"/>
    <x v="2"/>
    <x v="2"/>
    <x v="2"/>
    <x v="0"/>
    <x v="2"/>
    <x v="2"/>
    <x v="0"/>
    <x v="2"/>
    <x v="2"/>
  </r>
  <r>
    <x v="3"/>
    <x v="3"/>
    <x v="3"/>
    <x v="1"/>
    <x v="3"/>
    <x v="3"/>
    <x v="2"/>
    <x v="0"/>
    <x v="0"/>
    <x v="0"/>
    <x v="0"/>
    <x v="0"/>
    <x v="3"/>
    <x v="0"/>
    <x v="0"/>
    <x v="3"/>
    <x v="3"/>
    <x v="3"/>
    <x v="0"/>
    <x v="3"/>
    <x v="3"/>
    <x v="1"/>
    <x v="3"/>
    <x v="3"/>
  </r>
  <r>
    <x v="4"/>
    <x v="4"/>
    <x v="4"/>
    <x v="1"/>
    <x v="4"/>
    <x v="4"/>
    <x v="2"/>
    <x v="0"/>
    <x v="0"/>
    <x v="0"/>
    <x v="0"/>
    <x v="0"/>
    <x v="4"/>
    <x v="2"/>
    <x v="2"/>
    <x v="4"/>
    <x v="4"/>
    <x v="4"/>
    <x v="2"/>
    <x v="4"/>
    <x v="4"/>
    <x v="1"/>
    <x v="4"/>
    <x v="2"/>
  </r>
  <r>
    <x v="5"/>
    <x v="5"/>
    <x v="5"/>
    <x v="2"/>
    <x v="5"/>
    <x v="5"/>
    <x v="1"/>
    <x v="0"/>
    <x v="0"/>
    <x v="0"/>
    <x v="0"/>
    <x v="0"/>
    <x v="5"/>
    <x v="0"/>
    <x v="3"/>
    <x v="5"/>
    <x v="5"/>
    <x v="5"/>
    <x v="1"/>
    <x v="5"/>
    <x v="5"/>
    <x v="0"/>
    <x v="5"/>
    <x v="1"/>
  </r>
  <r>
    <x v="6"/>
    <x v="6"/>
    <x v="6"/>
    <x v="1"/>
    <x v="6"/>
    <x v="6"/>
    <x v="2"/>
    <x v="0"/>
    <x v="1"/>
    <x v="1"/>
    <x v="0"/>
    <x v="1"/>
    <x v="6"/>
    <x v="0"/>
    <x v="4"/>
    <x v="6"/>
    <x v="6"/>
    <x v="2"/>
    <x v="3"/>
    <x v="6"/>
    <x v="6"/>
    <x v="1"/>
    <x v="1"/>
    <x v="1"/>
  </r>
  <r>
    <x v="7"/>
    <x v="7"/>
    <x v="7"/>
    <x v="2"/>
    <x v="7"/>
    <x v="7"/>
    <x v="0"/>
    <x v="0"/>
    <x v="1"/>
    <x v="1"/>
    <x v="0"/>
    <x v="1"/>
    <x v="7"/>
    <x v="1"/>
    <x v="5"/>
    <x v="7"/>
    <x v="7"/>
    <x v="6"/>
    <x v="0"/>
    <x v="7"/>
    <x v="7"/>
    <x v="0"/>
    <x v="6"/>
    <x v="3"/>
  </r>
  <r>
    <x v="8"/>
    <x v="8"/>
    <x v="8"/>
    <x v="1"/>
    <x v="8"/>
    <x v="8"/>
    <x v="1"/>
    <x v="0"/>
    <x v="2"/>
    <x v="2"/>
    <x v="0"/>
    <x v="2"/>
    <x v="8"/>
    <x v="0"/>
    <x v="6"/>
    <x v="8"/>
    <x v="8"/>
    <x v="4"/>
    <x v="3"/>
    <x v="8"/>
    <x v="8"/>
    <x v="0"/>
    <x v="0"/>
    <x v="0"/>
  </r>
  <r>
    <x v="9"/>
    <x v="9"/>
    <x v="9"/>
    <x v="1"/>
    <x v="9"/>
    <x v="9"/>
    <x v="0"/>
    <x v="0"/>
    <x v="2"/>
    <x v="2"/>
    <x v="0"/>
    <x v="2"/>
    <x v="9"/>
    <x v="0"/>
    <x v="3"/>
    <x v="9"/>
    <x v="9"/>
    <x v="5"/>
    <x v="2"/>
    <x v="9"/>
    <x v="9"/>
    <x v="1"/>
    <x v="6"/>
    <x v="3"/>
  </r>
  <r>
    <x v="10"/>
    <x v="10"/>
    <x v="10"/>
    <x v="1"/>
    <x v="10"/>
    <x v="10"/>
    <x v="0"/>
    <x v="0"/>
    <x v="3"/>
    <x v="3"/>
    <x v="0"/>
    <x v="3"/>
    <x v="10"/>
    <x v="2"/>
    <x v="7"/>
    <x v="10"/>
    <x v="10"/>
    <x v="4"/>
    <x v="0"/>
    <x v="10"/>
    <x v="10"/>
    <x v="0"/>
    <x v="7"/>
    <x v="3"/>
  </r>
  <r>
    <x v="11"/>
    <x v="11"/>
    <x v="11"/>
    <x v="3"/>
    <x v="11"/>
    <x v="11"/>
    <x v="2"/>
    <x v="0"/>
    <x v="0"/>
    <x v="0"/>
    <x v="0"/>
    <x v="0"/>
    <x v="11"/>
    <x v="2"/>
    <x v="8"/>
    <x v="11"/>
    <x v="11"/>
    <x v="7"/>
    <x v="3"/>
    <x v="11"/>
    <x v="11"/>
    <x v="0"/>
    <x v="4"/>
    <x v="2"/>
  </r>
  <r>
    <x v="12"/>
    <x v="12"/>
    <x v="12"/>
    <x v="2"/>
    <x v="12"/>
    <x v="12"/>
    <x v="0"/>
    <x v="0"/>
    <x v="0"/>
    <x v="0"/>
    <x v="0"/>
    <x v="0"/>
    <x v="12"/>
    <x v="1"/>
    <x v="5"/>
    <x v="12"/>
    <x v="12"/>
    <x v="7"/>
    <x v="2"/>
    <x v="12"/>
    <x v="12"/>
    <x v="0"/>
    <x v="8"/>
    <x v="0"/>
  </r>
  <r>
    <x v="13"/>
    <x v="13"/>
    <x v="13"/>
    <x v="3"/>
    <x v="13"/>
    <x v="13"/>
    <x v="2"/>
    <x v="0"/>
    <x v="2"/>
    <x v="2"/>
    <x v="0"/>
    <x v="2"/>
    <x v="13"/>
    <x v="0"/>
    <x v="9"/>
    <x v="13"/>
    <x v="13"/>
    <x v="2"/>
    <x v="2"/>
    <x v="13"/>
    <x v="13"/>
    <x v="0"/>
    <x v="0"/>
    <x v="0"/>
  </r>
  <r>
    <x v="14"/>
    <x v="14"/>
    <x v="14"/>
    <x v="2"/>
    <x v="14"/>
    <x v="14"/>
    <x v="2"/>
    <x v="0"/>
    <x v="0"/>
    <x v="0"/>
    <x v="0"/>
    <x v="0"/>
    <x v="14"/>
    <x v="1"/>
    <x v="5"/>
    <x v="14"/>
    <x v="14"/>
    <x v="8"/>
    <x v="0"/>
    <x v="14"/>
    <x v="14"/>
    <x v="0"/>
    <x v="9"/>
    <x v="0"/>
  </r>
  <r>
    <x v="15"/>
    <x v="15"/>
    <x v="15"/>
    <x v="0"/>
    <x v="15"/>
    <x v="15"/>
    <x v="2"/>
    <x v="0"/>
    <x v="2"/>
    <x v="2"/>
    <x v="0"/>
    <x v="2"/>
    <x v="15"/>
    <x v="1"/>
    <x v="10"/>
    <x v="15"/>
    <x v="15"/>
    <x v="6"/>
    <x v="2"/>
    <x v="15"/>
    <x v="15"/>
    <x v="0"/>
    <x v="0"/>
    <x v="0"/>
  </r>
  <r>
    <x v="16"/>
    <x v="16"/>
    <x v="16"/>
    <x v="2"/>
    <x v="16"/>
    <x v="16"/>
    <x v="0"/>
    <x v="0"/>
    <x v="2"/>
    <x v="2"/>
    <x v="0"/>
    <x v="2"/>
    <x v="16"/>
    <x v="1"/>
    <x v="10"/>
    <x v="16"/>
    <x v="16"/>
    <x v="7"/>
    <x v="1"/>
    <x v="16"/>
    <x v="16"/>
    <x v="0"/>
    <x v="5"/>
    <x v="1"/>
  </r>
  <r>
    <x v="17"/>
    <x v="17"/>
    <x v="17"/>
    <x v="0"/>
    <x v="17"/>
    <x v="17"/>
    <x v="2"/>
    <x v="0"/>
    <x v="3"/>
    <x v="3"/>
    <x v="0"/>
    <x v="3"/>
    <x v="17"/>
    <x v="2"/>
    <x v="8"/>
    <x v="17"/>
    <x v="17"/>
    <x v="7"/>
    <x v="0"/>
    <x v="17"/>
    <x v="17"/>
    <x v="1"/>
    <x v="2"/>
    <x v="2"/>
  </r>
  <r>
    <x v="18"/>
    <x v="18"/>
    <x v="18"/>
    <x v="1"/>
    <x v="18"/>
    <x v="18"/>
    <x v="1"/>
    <x v="0"/>
    <x v="1"/>
    <x v="1"/>
    <x v="0"/>
    <x v="1"/>
    <x v="18"/>
    <x v="0"/>
    <x v="6"/>
    <x v="18"/>
    <x v="18"/>
    <x v="4"/>
    <x v="2"/>
    <x v="18"/>
    <x v="18"/>
    <x v="0"/>
    <x v="9"/>
    <x v="0"/>
  </r>
  <r>
    <x v="19"/>
    <x v="19"/>
    <x v="19"/>
    <x v="2"/>
    <x v="19"/>
    <x v="19"/>
    <x v="0"/>
    <x v="0"/>
    <x v="2"/>
    <x v="2"/>
    <x v="0"/>
    <x v="2"/>
    <x v="19"/>
    <x v="0"/>
    <x v="0"/>
    <x v="3"/>
    <x v="19"/>
    <x v="2"/>
    <x v="3"/>
    <x v="19"/>
    <x v="19"/>
    <x v="0"/>
    <x v="4"/>
    <x v="2"/>
  </r>
  <r>
    <x v="20"/>
    <x v="20"/>
    <x v="20"/>
    <x v="3"/>
    <x v="20"/>
    <x v="20"/>
    <x v="0"/>
    <x v="0"/>
    <x v="3"/>
    <x v="3"/>
    <x v="0"/>
    <x v="3"/>
    <x v="20"/>
    <x v="2"/>
    <x v="2"/>
    <x v="19"/>
    <x v="20"/>
    <x v="9"/>
    <x v="0"/>
    <x v="20"/>
    <x v="20"/>
    <x v="0"/>
    <x v="1"/>
    <x v="1"/>
  </r>
  <r>
    <x v="21"/>
    <x v="21"/>
    <x v="21"/>
    <x v="1"/>
    <x v="21"/>
    <x v="21"/>
    <x v="0"/>
    <x v="0"/>
    <x v="0"/>
    <x v="0"/>
    <x v="0"/>
    <x v="0"/>
    <x v="21"/>
    <x v="2"/>
    <x v="2"/>
    <x v="20"/>
    <x v="21"/>
    <x v="3"/>
    <x v="0"/>
    <x v="21"/>
    <x v="21"/>
    <x v="0"/>
    <x v="1"/>
    <x v="1"/>
  </r>
  <r>
    <x v="22"/>
    <x v="22"/>
    <x v="22"/>
    <x v="0"/>
    <x v="22"/>
    <x v="17"/>
    <x v="0"/>
    <x v="0"/>
    <x v="2"/>
    <x v="2"/>
    <x v="0"/>
    <x v="2"/>
    <x v="22"/>
    <x v="0"/>
    <x v="6"/>
    <x v="21"/>
    <x v="22"/>
    <x v="7"/>
    <x v="3"/>
    <x v="22"/>
    <x v="22"/>
    <x v="1"/>
    <x v="9"/>
    <x v="0"/>
  </r>
  <r>
    <x v="23"/>
    <x v="23"/>
    <x v="23"/>
    <x v="2"/>
    <x v="23"/>
    <x v="18"/>
    <x v="0"/>
    <x v="0"/>
    <x v="1"/>
    <x v="1"/>
    <x v="0"/>
    <x v="1"/>
    <x v="23"/>
    <x v="2"/>
    <x v="7"/>
    <x v="22"/>
    <x v="23"/>
    <x v="3"/>
    <x v="2"/>
    <x v="23"/>
    <x v="23"/>
    <x v="0"/>
    <x v="0"/>
    <x v="0"/>
  </r>
  <r>
    <x v="24"/>
    <x v="24"/>
    <x v="22"/>
    <x v="0"/>
    <x v="24"/>
    <x v="22"/>
    <x v="1"/>
    <x v="0"/>
    <x v="0"/>
    <x v="0"/>
    <x v="0"/>
    <x v="0"/>
    <x v="24"/>
    <x v="0"/>
    <x v="0"/>
    <x v="23"/>
    <x v="24"/>
    <x v="6"/>
    <x v="2"/>
    <x v="24"/>
    <x v="24"/>
    <x v="0"/>
    <x v="9"/>
    <x v="0"/>
  </r>
  <r>
    <x v="25"/>
    <x v="25"/>
    <x v="24"/>
    <x v="1"/>
    <x v="25"/>
    <x v="23"/>
    <x v="0"/>
    <x v="0"/>
    <x v="2"/>
    <x v="2"/>
    <x v="0"/>
    <x v="2"/>
    <x v="25"/>
    <x v="2"/>
    <x v="8"/>
    <x v="24"/>
    <x v="25"/>
    <x v="7"/>
    <x v="2"/>
    <x v="25"/>
    <x v="25"/>
    <x v="0"/>
    <x v="3"/>
    <x v="3"/>
  </r>
  <r>
    <x v="26"/>
    <x v="26"/>
    <x v="25"/>
    <x v="0"/>
    <x v="26"/>
    <x v="24"/>
    <x v="2"/>
    <x v="0"/>
    <x v="1"/>
    <x v="1"/>
    <x v="0"/>
    <x v="1"/>
    <x v="26"/>
    <x v="0"/>
    <x v="9"/>
    <x v="25"/>
    <x v="26"/>
    <x v="4"/>
    <x v="1"/>
    <x v="26"/>
    <x v="26"/>
    <x v="0"/>
    <x v="1"/>
    <x v="1"/>
  </r>
  <r>
    <x v="27"/>
    <x v="27"/>
    <x v="26"/>
    <x v="3"/>
    <x v="27"/>
    <x v="21"/>
    <x v="2"/>
    <x v="0"/>
    <x v="0"/>
    <x v="0"/>
    <x v="0"/>
    <x v="0"/>
    <x v="27"/>
    <x v="1"/>
    <x v="5"/>
    <x v="26"/>
    <x v="27"/>
    <x v="4"/>
    <x v="3"/>
    <x v="27"/>
    <x v="27"/>
    <x v="0"/>
    <x v="6"/>
    <x v="3"/>
  </r>
  <r>
    <x v="28"/>
    <x v="28"/>
    <x v="27"/>
    <x v="1"/>
    <x v="28"/>
    <x v="25"/>
    <x v="2"/>
    <x v="0"/>
    <x v="0"/>
    <x v="0"/>
    <x v="0"/>
    <x v="0"/>
    <x v="28"/>
    <x v="0"/>
    <x v="3"/>
    <x v="27"/>
    <x v="28"/>
    <x v="5"/>
    <x v="3"/>
    <x v="28"/>
    <x v="28"/>
    <x v="0"/>
    <x v="7"/>
    <x v="3"/>
  </r>
  <r>
    <x v="29"/>
    <x v="29"/>
    <x v="28"/>
    <x v="2"/>
    <x v="29"/>
    <x v="1"/>
    <x v="2"/>
    <x v="0"/>
    <x v="2"/>
    <x v="2"/>
    <x v="0"/>
    <x v="2"/>
    <x v="29"/>
    <x v="0"/>
    <x v="4"/>
    <x v="28"/>
    <x v="29"/>
    <x v="2"/>
    <x v="2"/>
    <x v="29"/>
    <x v="29"/>
    <x v="0"/>
    <x v="7"/>
    <x v="3"/>
  </r>
  <r>
    <x v="30"/>
    <x v="11"/>
    <x v="29"/>
    <x v="1"/>
    <x v="30"/>
    <x v="25"/>
    <x v="1"/>
    <x v="0"/>
    <x v="3"/>
    <x v="3"/>
    <x v="0"/>
    <x v="3"/>
    <x v="30"/>
    <x v="0"/>
    <x v="3"/>
    <x v="29"/>
    <x v="30"/>
    <x v="3"/>
    <x v="2"/>
    <x v="30"/>
    <x v="30"/>
    <x v="0"/>
    <x v="4"/>
    <x v="2"/>
  </r>
  <r>
    <x v="31"/>
    <x v="30"/>
    <x v="30"/>
    <x v="3"/>
    <x v="31"/>
    <x v="19"/>
    <x v="2"/>
    <x v="0"/>
    <x v="1"/>
    <x v="1"/>
    <x v="0"/>
    <x v="1"/>
    <x v="31"/>
    <x v="0"/>
    <x v="0"/>
    <x v="30"/>
    <x v="31"/>
    <x v="9"/>
    <x v="3"/>
    <x v="31"/>
    <x v="31"/>
    <x v="1"/>
    <x v="8"/>
    <x v="0"/>
  </r>
  <r>
    <x v="32"/>
    <x v="31"/>
    <x v="31"/>
    <x v="2"/>
    <x v="32"/>
    <x v="11"/>
    <x v="0"/>
    <x v="0"/>
    <x v="3"/>
    <x v="3"/>
    <x v="0"/>
    <x v="3"/>
    <x v="32"/>
    <x v="0"/>
    <x v="6"/>
    <x v="31"/>
    <x v="32"/>
    <x v="7"/>
    <x v="3"/>
    <x v="32"/>
    <x v="32"/>
    <x v="0"/>
    <x v="6"/>
    <x v="3"/>
  </r>
  <r>
    <x v="33"/>
    <x v="32"/>
    <x v="32"/>
    <x v="0"/>
    <x v="33"/>
    <x v="0"/>
    <x v="2"/>
    <x v="0"/>
    <x v="2"/>
    <x v="2"/>
    <x v="0"/>
    <x v="2"/>
    <x v="33"/>
    <x v="2"/>
    <x v="2"/>
    <x v="32"/>
    <x v="33"/>
    <x v="8"/>
    <x v="1"/>
    <x v="33"/>
    <x v="33"/>
    <x v="0"/>
    <x v="1"/>
    <x v="1"/>
  </r>
  <r>
    <x v="34"/>
    <x v="33"/>
    <x v="33"/>
    <x v="0"/>
    <x v="34"/>
    <x v="7"/>
    <x v="0"/>
    <x v="0"/>
    <x v="1"/>
    <x v="1"/>
    <x v="0"/>
    <x v="1"/>
    <x v="34"/>
    <x v="1"/>
    <x v="10"/>
    <x v="33"/>
    <x v="34"/>
    <x v="8"/>
    <x v="3"/>
    <x v="34"/>
    <x v="34"/>
    <x v="1"/>
    <x v="8"/>
    <x v="0"/>
  </r>
  <r>
    <x v="35"/>
    <x v="31"/>
    <x v="34"/>
    <x v="2"/>
    <x v="35"/>
    <x v="12"/>
    <x v="0"/>
    <x v="0"/>
    <x v="1"/>
    <x v="1"/>
    <x v="0"/>
    <x v="1"/>
    <x v="35"/>
    <x v="2"/>
    <x v="2"/>
    <x v="34"/>
    <x v="35"/>
    <x v="2"/>
    <x v="1"/>
    <x v="35"/>
    <x v="35"/>
    <x v="1"/>
    <x v="6"/>
    <x v="3"/>
  </r>
  <r>
    <x v="36"/>
    <x v="34"/>
    <x v="35"/>
    <x v="0"/>
    <x v="36"/>
    <x v="0"/>
    <x v="2"/>
    <x v="0"/>
    <x v="3"/>
    <x v="3"/>
    <x v="0"/>
    <x v="3"/>
    <x v="36"/>
    <x v="2"/>
    <x v="8"/>
    <x v="35"/>
    <x v="36"/>
    <x v="6"/>
    <x v="2"/>
    <x v="36"/>
    <x v="36"/>
    <x v="1"/>
    <x v="5"/>
    <x v="1"/>
  </r>
  <r>
    <x v="37"/>
    <x v="35"/>
    <x v="19"/>
    <x v="2"/>
    <x v="37"/>
    <x v="26"/>
    <x v="2"/>
    <x v="0"/>
    <x v="1"/>
    <x v="1"/>
    <x v="0"/>
    <x v="1"/>
    <x v="37"/>
    <x v="1"/>
    <x v="10"/>
    <x v="36"/>
    <x v="37"/>
    <x v="9"/>
    <x v="0"/>
    <x v="37"/>
    <x v="37"/>
    <x v="0"/>
    <x v="4"/>
    <x v="2"/>
  </r>
  <r>
    <x v="38"/>
    <x v="36"/>
    <x v="36"/>
    <x v="2"/>
    <x v="38"/>
    <x v="21"/>
    <x v="2"/>
    <x v="0"/>
    <x v="1"/>
    <x v="1"/>
    <x v="0"/>
    <x v="1"/>
    <x v="38"/>
    <x v="2"/>
    <x v="8"/>
    <x v="37"/>
    <x v="38"/>
    <x v="8"/>
    <x v="2"/>
    <x v="38"/>
    <x v="38"/>
    <x v="0"/>
    <x v="9"/>
    <x v="0"/>
  </r>
  <r>
    <x v="39"/>
    <x v="37"/>
    <x v="37"/>
    <x v="2"/>
    <x v="39"/>
    <x v="11"/>
    <x v="1"/>
    <x v="0"/>
    <x v="1"/>
    <x v="1"/>
    <x v="0"/>
    <x v="1"/>
    <x v="39"/>
    <x v="0"/>
    <x v="9"/>
    <x v="38"/>
    <x v="39"/>
    <x v="2"/>
    <x v="0"/>
    <x v="39"/>
    <x v="39"/>
    <x v="0"/>
    <x v="7"/>
    <x v="3"/>
  </r>
  <r>
    <x v="40"/>
    <x v="38"/>
    <x v="38"/>
    <x v="0"/>
    <x v="40"/>
    <x v="6"/>
    <x v="2"/>
    <x v="0"/>
    <x v="0"/>
    <x v="0"/>
    <x v="0"/>
    <x v="0"/>
    <x v="40"/>
    <x v="2"/>
    <x v="7"/>
    <x v="39"/>
    <x v="40"/>
    <x v="7"/>
    <x v="1"/>
    <x v="40"/>
    <x v="40"/>
    <x v="0"/>
    <x v="9"/>
    <x v="0"/>
  </r>
  <r>
    <x v="41"/>
    <x v="39"/>
    <x v="39"/>
    <x v="2"/>
    <x v="41"/>
    <x v="2"/>
    <x v="2"/>
    <x v="0"/>
    <x v="2"/>
    <x v="2"/>
    <x v="0"/>
    <x v="2"/>
    <x v="41"/>
    <x v="0"/>
    <x v="6"/>
    <x v="40"/>
    <x v="41"/>
    <x v="4"/>
    <x v="0"/>
    <x v="41"/>
    <x v="41"/>
    <x v="1"/>
    <x v="3"/>
    <x v="3"/>
  </r>
  <r>
    <x v="42"/>
    <x v="40"/>
    <x v="16"/>
    <x v="0"/>
    <x v="42"/>
    <x v="27"/>
    <x v="0"/>
    <x v="0"/>
    <x v="0"/>
    <x v="0"/>
    <x v="0"/>
    <x v="0"/>
    <x v="42"/>
    <x v="2"/>
    <x v="8"/>
    <x v="41"/>
    <x v="42"/>
    <x v="8"/>
    <x v="3"/>
    <x v="42"/>
    <x v="42"/>
    <x v="0"/>
    <x v="5"/>
    <x v="1"/>
  </r>
  <r>
    <x v="43"/>
    <x v="41"/>
    <x v="40"/>
    <x v="0"/>
    <x v="43"/>
    <x v="28"/>
    <x v="0"/>
    <x v="0"/>
    <x v="2"/>
    <x v="2"/>
    <x v="0"/>
    <x v="2"/>
    <x v="43"/>
    <x v="2"/>
    <x v="8"/>
    <x v="42"/>
    <x v="43"/>
    <x v="7"/>
    <x v="0"/>
    <x v="43"/>
    <x v="43"/>
    <x v="0"/>
    <x v="2"/>
    <x v="2"/>
  </r>
  <r>
    <x v="44"/>
    <x v="42"/>
    <x v="41"/>
    <x v="0"/>
    <x v="44"/>
    <x v="23"/>
    <x v="1"/>
    <x v="0"/>
    <x v="2"/>
    <x v="2"/>
    <x v="0"/>
    <x v="2"/>
    <x v="44"/>
    <x v="0"/>
    <x v="0"/>
    <x v="43"/>
    <x v="44"/>
    <x v="5"/>
    <x v="0"/>
    <x v="44"/>
    <x v="44"/>
    <x v="0"/>
    <x v="0"/>
    <x v="0"/>
  </r>
  <r>
    <x v="45"/>
    <x v="43"/>
    <x v="42"/>
    <x v="2"/>
    <x v="45"/>
    <x v="16"/>
    <x v="2"/>
    <x v="0"/>
    <x v="3"/>
    <x v="3"/>
    <x v="0"/>
    <x v="3"/>
    <x v="45"/>
    <x v="0"/>
    <x v="4"/>
    <x v="44"/>
    <x v="45"/>
    <x v="2"/>
    <x v="3"/>
    <x v="45"/>
    <x v="45"/>
    <x v="1"/>
    <x v="10"/>
    <x v="1"/>
  </r>
  <r>
    <x v="46"/>
    <x v="44"/>
    <x v="43"/>
    <x v="2"/>
    <x v="46"/>
    <x v="15"/>
    <x v="1"/>
    <x v="0"/>
    <x v="3"/>
    <x v="3"/>
    <x v="0"/>
    <x v="3"/>
    <x v="46"/>
    <x v="2"/>
    <x v="7"/>
    <x v="45"/>
    <x v="46"/>
    <x v="7"/>
    <x v="1"/>
    <x v="46"/>
    <x v="46"/>
    <x v="0"/>
    <x v="9"/>
    <x v="0"/>
  </r>
  <r>
    <x v="47"/>
    <x v="45"/>
    <x v="12"/>
    <x v="1"/>
    <x v="47"/>
    <x v="29"/>
    <x v="2"/>
    <x v="0"/>
    <x v="0"/>
    <x v="0"/>
    <x v="0"/>
    <x v="0"/>
    <x v="47"/>
    <x v="2"/>
    <x v="7"/>
    <x v="39"/>
    <x v="47"/>
    <x v="9"/>
    <x v="3"/>
    <x v="47"/>
    <x v="47"/>
    <x v="0"/>
    <x v="8"/>
    <x v="0"/>
  </r>
  <r>
    <x v="48"/>
    <x v="46"/>
    <x v="44"/>
    <x v="0"/>
    <x v="48"/>
    <x v="15"/>
    <x v="2"/>
    <x v="0"/>
    <x v="1"/>
    <x v="1"/>
    <x v="0"/>
    <x v="1"/>
    <x v="48"/>
    <x v="0"/>
    <x v="9"/>
    <x v="46"/>
    <x v="48"/>
    <x v="8"/>
    <x v="0"/>
    <x v="48"/>
    <x v="48"/>
    <x v="0"/>
    <x v="7"/>
    <x v="3"/>
  </r>
  <r>
    <x v="49"/>
    <x v="47"/>
    <x v="45"/>
    <x v="3"/>
    <x v="49"/>
    <x v="11"/>
    <x v="1"/>
    <x v="0"/>
    <x v="3"/>
    <x v="3"/>
    <x v="0"/>
    <x v="3"/>
    <x v="49"/>
    <x v="2"/>
    <x v="8"/>
    <x v="47"/>
    <x v="49"/>
    <x v="2"/>
    <x v="3"/>
    <x v="49"/>
    <x v="49"/>
    <x v="0"/>
    <x v="1"/>
    <x v="1"/>
  </r>
  <r>
    <x v="50"/>
    <x v="9"/>
    <x v="46"/>
    <x v="1"/>
    <x v="50"/>
    <x v="7"/>
    <x v="0"/>
    <x v="0"/>
    <x v="0"/>
    <x v="0"/>
    <x v="0"/>
    <x v="0"/>
    <x v="50"/>
    <x v="2"/>
    <x v="7"/>
    <x v="48"/>
    <x v="50"/>
    <x v="7"/>
    <x v="2"/>
    <x v="50"/>
    <x v="50"/>
    <x v="0"/>
    <x v="6"/>
    <x v="3"/>
  </r>
  <r>
    <x v="51"/>
    <x v="48"/>
    <x v="47"/>
    <x v="1"/>
    <x v="51"/>
    <x v="1"/>
    <x v="2"/>
    <x v="0"/>
    <x v="0"/>
    <x v="0"/>
    <x v="0"/>
    <x v="0"/>
    <x v="51"/>
    <x v="2"/>
    <x v="7"/>
    <x v="49"/>
    <x v="51"/>
    <x v="1"/>
    <x v="3"/>
    <x v="51"/>
    <x v="51"/>
    <x v="0"/>
    <x v="5"/>
    <x v="1"/>
  </r>
  <r>
    <x v="52"/>
    <x v="49"/>
    <x v="48"/>
    <x v="1"/>
    <x v="52"/>
    <x v="4"/>
    <x v="2"/>
    <x v="0"/>
    <x v="2"/>
    <x v="2"/>
    <x v="0"/>
    <x v="2"/>
    <x v="52"/>
    <x v="1"/>
    <x v="11"/>
    <x v="50"/>
    <x v="52"/>
    <x v="1"/>
    <x v="0"/>
    <x v="52"/>
    <x v="52"/>
    <x v="0"/>
    <x v="11"/>
    <x v="2"/>
  </r>
  <r>
    <x v="53"/>
    <x v="50"/>
    <x v="49"/>
    <x v="0"/>
    <x v="53"/>
    <x v="29"/>
    <x v="0"/>
    <x v="0"/>
    <x v="2"/>
    <x v="2"/>
    <x v="0"/>
    <x v="2"/>
    <x v="53"/>
    <x v="1"/>
    <x v="10"/>
    <x v="51"/>
    <x v="53"/>
    <x v="4"/>
    <x v="1"/>
    <x v="53"/>
    <x v="53"/>
    <x v="0"/>
    <x v="7"/>
    <x v="3"/>
  </r>
  <r>
    <x v="54"/>
    <x v="51"/>
    <x v="50"/>
    <x v="2"/>
    <x v="54"/>
    <x v="12"/>
    <x v="2"/>
    <x v="0"/>
    <x v="1"/>
    <x v="1"/>
    <x v="0"/>
    <x v="1"/>
    <x v="54"/>
    <x v="2"/>
    <x v="8"/>
    <x v="52"/>
    <x v="54"/>
    <x v="4"/>
    <x v="2"/>
    <x v="54"/>
    <x v="54"/>
    <x v="0"/>
    <x v="0"/>
    <x v="0"/>
  </r>
  <r>
    <x v="55"/>
    <x v="52"/>
    <x v="51"/>
    <x v="3"/>
    <x v="55"/>
    <x v="30"/>
    <x v="1"/>
    <x v="0"/>
    <x v="2"/>
    <x v="2"/>
    <x v="0"/>
    <x v="2"/>
    <x v="55"/>
    <x v="1"/>
    <x v="5"/>
    <x v="53"/>
    <x v="55"/>
    <x v="8"/>
    <x v="3"/>
    <x v="55"/>
    <x v="55"/>
    <x v="0"/>
    <x v="5"/>
    <x v="1"/>
  </r>
  <r>
    <x v="56"/>
    <x v="53"/>
    <x v="52"/>
    <x v="2"/>
    <x v="56"/>
    <x v="23"/>
    <x v="0"/>
    <x v="0"/>
    <x v="3"/>
    <x v="3"/>
    <x v="0"/>
    <x v="3"/>
    <x v="56"/>
    <x v="0"/>
    <x v="6"/>
    <x v="54"/>
    <x v="56"/>
    <x v="7"/>
    <x v="2"/>
    <x v="56"/>
    <x v="56"/>
    <x v="1"/>
    <x v="5"/>
    <x v="1"/>
  </r>
  <r>
    <x v="57"/>
    <x v="54"/>
    <x v="53"/>
    <x v="0"/>
    <x v="57"/>
    <x v="28"/>
    <x v="1"/>
    <x v="0"/>
    <x v="3"/>
    <x v="3"/>
    <x v="0"/>
    <x v="3"/>
    <x v="57"/>
    <x v="2"/>
    <x v="7"/>
    <x v="55"/>
    <x v="57"/>
    <x v="6"/>
    <x v="3"/>
    <x v="57"/>
    <x v="57"/>
    <x v="1"/>
    <x v="2"/>
    <x v="2"/>
  </r>
  <r>
    <x v="58"/>
    <x v="55"/>
    <x v="54"/>
    <x v="0"/>
    <x v="58"/>
    <x v="13"/>
    <x v="2"/>
    <x v="0"/>
    <x v="3"/>
    <x v="3"/>
    <x v="0"/>
    <x v="3"/>
    <x v="58"/>
    <x v="0"/>
    <x v="3"/>
    <x v="56"/>
    <x v="58"/>
    <x v="9"/>
    <x v="0"/>
    <x v="58"/>
    <x v="58"/>
    <x v="1"/>
    <x v="7"/>
    <x v="3"/>
  </r>
  <r>
    <x v="59"/>
    <x v="56"/>
    <x v="55"/>
    <x v="0"/>
    <x v="59"/>
    <x v="14"/>
    <x v="1"/>
    <x v="0"/>
    <x v="1"/>
    <x v="1"/>
    <x v="0"/>
    <x v="1"/>
    <x v="59"/>
    <x v="2"/>
    <x v="7"/>
    <x v="57"/>
    <x v="59"/>
    <x v="4"/>
    <x v="1"/>
    <x v="59"/>
    <x v="59"/>
    <x v="0"/>
    <x v="8"/>
    <x v="0"/>
  </r>
  <r>
    <x v="60"/>
    <x v="57"/>
    <x v="56"/>
    <x v="0"/>
    <x v="60"/>
    <x v="31"/>
    <x v="2"/>
    <x v="0"/>
    <x v="1"/>
    <x v="1"/>
    <x v="0"/>
    <x v="1"/>
    <x v="60"/>
    <x v="2"/>
    <x v="8"/>
    <x v="58"/>
    <x v="60"/>
    <x v="8"/>
    <x v="0"/>
    <x v="60"/>
    <x v="60"/>
    <x v="0"/>
    <x v="10"/>
    <x v="1"/>
  </r>
  <r>
    <x v="61"/>
    <x v="58"/>
    <x v="57"/>
    <x v="2"/>
    <x v="61"/>
    <x v="8"/>
    <x v="1"/>
    <x v="0"/>
    <x v="1"/>
    <x v="1"/>
    <x v="0"/>
    <x v="1"/>
    <x v="61"/>
    <x v="2"/>
    <x v="7"/>
    <x v="59"/>
    <x v="61"/>
    <x v="8"/>
    <x v="1"/>
    <x v="61"/>
    <x v="61"/>
    <x v="0"/>
    <x v="10"/>
    <x v="1"/>
  </r>
  <r>
    <x v="62"/>
    <x v="20"/>
    <x v="20"/>
    <x v="3"/>
    <x v="62"/>
    <x v="12"/>
    <x v="1"/>
    <x v="0"/>
    <x v="1"/>
    <x v="1"/>
    <x v="0"/>
    <x v="1"/>
    <x v="62"/>
    <x v="1"/>
    <x v="5"/>
    <x v="60"/>
    <x v="62"/>
    <x v="2"/>
    <x v="0"/>
    <x v="62"/>
    <x v="62"/>
    <x v="1"/>
    <x v="1"/>
    <x v="1"/>
  </r>
  <r>
    <x v="63"/>
    <x v="59"/>
    <x v="58"/>
    <x v="0"/>
    <x v="63"/>
    <x v="25"/>
    <x v="1"/>
    <x v="0"/>
    <x v="0"/>
    <x v="0"/>
    <x v="0"/>
    <x v="0"/>
    <x v="63"/>
    <x v="2"/>
    <x v="8"/>
    <x v="61"/>
    <x v="63"/>
    <x v="6"/>
    <x v="1"/>
    <x v="63"/>
    <x v="63"/>
    <x v="0"/>
    <x v="4"/>
    <x v="2"/>
  </r>
  <r>
    <x v="64"/>
    <x v="60"/>
    <x v="16"/>
    <x v="3"/>
    <x v="64"/>
    <x v="1"/>
    <x v="1"/>
    <x v="0"/>
    <x v="0"/>
    <x v="0"/>
    <x v="0"/>
    <x v="0"/>
    <x v="64"/>
    <x v="1"/>
    <x v="11"/>
    <x v="62"/>
    <x v="64"/>
    <x v="2"/>
    <x v="3"/>
    <x v="64"/>
    <x v="64"/>
    <x v="0"/>
    <x v="5"/>
    <x v="1"/>
  </r>
  <r>
    <x v="65"/>
    <x v="61"/>
    <x v="59"/>
    <x v="2"/>
    <x v="65"/>
    <x v="12"/>
    <x v="1"/>
    <x v="0"/>
    <x v="1"/>
    <x v="1"/>
    <x v="0"/>
    <x v="1"/>
    <x v="65"/>
    <x v="2"/>
    <x v="2"/>
    <x v="63"/>
    <x v="65"/>
    <x v="5"/>
    <x v="2"/>
    <x v="65"/>
    <x v="65"/>
    <x v="0"/>
    <x v="5"/>
    <x v="1"/>
  </r>
  <r>
    <x v="66"/>
    <x v="62"/>
    <x v="5"/>
    <x v="2"/>
    <x v="66"/>
    <x v="32"/>
    <x v="2"/>
    <x v="0"/>
    <x v="2"/>
    <x v="2"/>
    <x v="0"/>
    <x v="2"/>
    <x v="66"/>
    <x v="2"/>
    <x v="8"/>
    <x v="64"/>
    <x v="66"/>
    <x v="6"/>
    <x v="1"/>
    <x v="66"/>
    <x v="66"/>
    <x v="0"/>
    <x v="5"/>
    <x v="1"/>
  </r>
  <r>
    <x v="67"/>
    <x v="63"/>
    <x v="60"/>
    <x v="2"/>
    <x v="67"/>
    <x v="33"/>
    <x v="1"/>
    <x v="0"/>
    <x v="3"/>
    <x v="3"/>
    <x v="0"/>
    <x v="3"/>
    <x v="67"/>
    <x v="1"/>
    <x v="1"/>
    <x v="65"/>
    <x v="67"/>
    <x v="0"/>
    <x v="2"/>
    <x v="67"/>
    <x v="67"/>
    <x v="0"/>
    <x v="0"/>
    <x v="0"/>
  </r>
  <r>
    <x v="68"/>
    <x v="33"/>
    <x v="61"/>
    <x v="0"/>
    <x v="68"/>
    <x v="17"/>
    <x v="2"/>
    <x v="0"/>
    <x v="1"/>
    <x v="1"/>
    <x v="0"/>
    <x v="1"/>
    <x v="68"/>
    <x v="0"/>
    <x v="0"/>
    <x v="66"/>
    <x v="68"/>
    <x v="6"/>
    <x v="3"/>
    <x v="68"/>
    <x v="68"/>
    <x v="0"/>
    <x v="8"/>
    <x v="0"/>
  </r>
  <r>
    <x v="69"/>
    <x v="64"/>
    <x v="62"/>
    <x v="0"/>
    <x v="69"/>
    <x v="22"/>
    <x v="0"/>
    <x v="0"/>
    <x v="3"/>
    <x v="3"/>
    <x v="0"/>
    <x v="3"/>
    <x v="69"/>
    <x v="1"/>
    <x v="5"/>
    <x v="67"/>
    <x v="69"/>
    <x v="4"/>
    <x v="1"/>
    <x v="69"/>
    <x v="69"/>
    <x v="0"/>
    <x v="7"/>
    <x v="3"/>
  </r>
  <r>
    <x v="70"/>
    <x v="65"/>
    <x v="63"/>
    <x v="0"/>
    <x v="70"/>
    <x v="18"/>
    <x v="2"/>
    <x v="0"/>
    <x v="3"/>
    <x v="3"/>
    <x v="0"/>
    <x v="3"/>
    <x v="70"/>
    <x v="2"/>
    <x v="2"/>
    <x v="68"/>
    <x v="70"/>
    <x v="9"/>
    <x v="2"/>
    <x v="70"/>
    <x v="70"/>
    <x v="0"/>
    <x v="10"/>
    <x v="1"/>
  </r>
  <r>
    <x v="71"/>
    <x v="66"/>
    <x v="64"/>
    <x v="2"/>
    <x v="71"/>
    <x v="23"/>
    <x v="0"/>
    <x v="0"/>
    <x v="1"/>
    <x v="1"/>
    <x v="0"/>
    <x v="1"/>
    <x v="71"/>
    <x v="0"/>
    <x v="9"/>
    <x v="69"/>
    <x v="71"/>
    <x v="8"/>
    <x v="3"/>
    <x v="71"/>
    <x v="71"/>
    <x v="0"/>
    <x v="4"/>
    <x v="2"/>
  </r>
  <r>
    <x v="72"/>
    <x v="67"/>
    <x v="65"/>
    <x v="3"/>
    <x v="72"/>
    <x v="12"/>
    <x v="2"/>
    <x v="0"/>
    <x v="3"/>
    <x v="3"/>
    <x v="0"/>
    <x v="3"/>
    <x v="72"/>
    <x v="0"/>
    <x v="4"/>
    <x v="70"/>
    <x v="72"/>
    <x v="7"/>
    <x v="1"/>
    <x v="72"/>
    <x v="72"/>
    <x v="0"/>
    <x v="6"/>
    <x v="3"/>
  </r>
  <r>
    <x v="73"/>
    <x v="68"/>
    <x v="66"/>
    <x v="2"/>
    <x v="73"/>
    <x v="21"/>
    <x v="1"/>
    <x v="0"/>
    <x v="3"/>
    <x v="3"/>
    <x v="0"/>
    <x v="3"/>
    <x v="73"/>
    <x v="0"/>
    <x v="3"/>
    <x v="71"/>
    <x v="73"/>
    <x v="0"/>
    <x v="0"/>
    <x v="73"/>
    <x v="73"/>
    <x v="0"/>
    <x v="4"/>
    <x v="2"/>
  </r>
  <r>
    <x v="74"/>
    <x v="69"/>
    <x v="67"/>
    <x v="3"/>
    <x v="74"/>
    <x v="21"/>
    <x v="0"/>
    <x v="0"/>
    <x v="0"/>
    <x v="0"/>
    <x v="0"/>
    <x v="0"/>
    <x v="74"/>
    <x v="0"/>
    <x v="3"/>
    <x v="72"/>
    <x v="74"/>
    <x v="0"/>
    <x v="3"/>
    <x v="74"/>
    <x v="74"/>
    <x v="1"/>
    <x v="7"/>
    <x v="3"/>
  </r>
  <r>
    <x v="75"/>
    <x v="70"/>
    <x v="68"/>
    <x v="1"/>
    <x v="75"/>
    <x v="2"/>
    <x v="2"/>
    <x v="0"/>
    <x v="3"/>
    <x v="3"/>
    <x v="0"/>
    <x v="3"/>
    <x v="75"/>
    <x v="0"/>
    <x v="4"/>
    <x v="73"/>
    <x v="75"/>
    <x v="2"/>
    <x v="3"/>
    <x v="75"/>
    <x v="75"/>
    <x v="1"/>
    <x v="11"/>
    <x v="2"/>
  </r>
  <r>
    <x v="76"/>
    <x v="71"/>
    <x v="69"/>
    <x v="1"/>
    <x v="76"/>
    <x v="34"/>
    <x v="1"/>
    <x v="0"/>
    <x v="3"/>
    <x v="3"/>
    <x v="0"/>
    <x v="3"/>
    <x v="76"/>
    <x v="1"/>
    <x v="1"/>
    <x v="74"/>
    <x v="76"/>
    <x v="7"/>
    <x v="1"/>
    <x v="76"/>
    <x v="76"/>
    <x v="0"/>
    <x v="5"/>
    <x v="1"/>
  </r>
  <r>
    <x v="77"/>
    <x v="72"/>
    <x v="70"/>
    <x v="0"/>
    <x v="77"/>
    <x v="8"/>
    <x v="2"/>
    <x v="0"/>
    <x v="2"/>
    <x v="2"/>
    <x v="0"/>
    <x v="2"/>
    <x v="77"/>
    <x v="2"/>
    <x v="2"/>
    <x v="75"/>
    <x v="77"/>
    <x v="5"/>
    <x v="0"/>
    <x v="77"/>
    <x v="77"/>
    <x v="0"/>
    <x v="9"/>
    <x v="0"/>
  </r>
  <r>
    <x v="78"/>
    <x v="73"/>
    <x v="26"/>
    <x v="1"/>
    <x v="78"/>
    <x v="7"/>
    <x v="1"/>
    <x v="0"/>
    <x v="2"/>
    <x v="2"/>
    <x v="0"/>
    <x v="2"/>
    <x v="78"/>
    <x v="0"/>
    <x v="4"/>
    <x v="76"/>
    <x v="78"/>
    <x v="1"/>
    <x v="0"/>
    <x v="78"/>
    <x v="78"/>
    <x v="0"/>
    <x v="6"/>
    <x v="3"/>
  </r>
  <r>
    <x v="79"/>
    <x v="74"/>
    <x v="71"/>
    <x v="0"/>
    <x v="79"/>
    <x v="0"/>
    <x v="1"/>
    <x v="0"/>
    <x v="0"/>
    <x v="0"/>
    <x v="0"/>
    <x v="0"/>
    <x v="79"/>
    <x v="2"/>
    <x v="2"/>
    <x v="4"/>
    <x v="79"/>
    <x v="2"/>
    <x v="1"/>
    <x v="79"/>
    <x v="79"/>
    <x v="0"/>
    <x v="10"/>
    <x v="1"/>
  </r>
  <r>
    <x v="80"/>
    <x v="2"/>
    <x v="72"/>
    <x v="0"/>
    <x v="80"/>
    <x v="3"/>
    <x v="2"/>
    <x v="0"/>
    <x v="3"/>
    <x v="3"/>
    <x v="0"/>
    <x v="3"/>
    <x v="80"/>
    <x v="1"/>
    <x v="11"/>
    <x v="77"/>
    <x v="80"/>
    <x v="7"/>
    <x v="3"/>
    <x v="80"/>
    <x v="80"/>
    <x v="0"/>
    <x v="2"/>
    <x v="2"/>
  </r>
  <r>
    <x v="81"/>
    <x v="75"/>
    <x v="73"/>
    <x v="1"/>
    <x v="81"/>
    <x v="20"/>
    <x v="2"/>
    <x v="0"/>
    <x v="0"/>
    <x v="0"/>
    <x v="0"/>
    <x v="0"/>
    <x v="81"/>
    <x v="1"/>
    <x v="1"/>
    <x v="78"/>
    <x v="81"/>
    <x v="9"/>
    <x v="0"/>
    <x v="81"/>
    <x v="81"/>
    <x v="1"/>
    <x v="8"/>
    <x v="0"/>
  </r>
  <r>
    <x v="82"/>
    <x v="57"/>
    <x v="74"/>
    <x v="3"/>
    <x v="82"/>
    <x v="35"/>
    <x v="0"/>
    <x v="0"/>
    <x v="0"/>
    <x v="0"/>
    <x v="0"/>
    <x v="0"/>
    <x v="82"/>
    <x v="0"/>
    <x v="9"/>
    <x v="79"/>
    <x v="82"/>
    <x v="9"/>
    <x v="0"/>
    <x v="82"/>
    <x v="82"/>
    <x v="0"/>
    <x v="10"/>
    <x v="1"/>
  </r>
  <r>
    <x v="83"/>
    <x v="76"/>
    <x v="75"/>
    <x v="1"/>
    <x v="83"/>
    <x v="25"/>
    <x v="1"/>
    <x v="0"/>
    <x v="2"/>
    <x v="2"/>
    <x v="0"/>
    <x v="2"/>
    <x v="83"/>
    <x v="1"/>
    <x v="5"/>
    <x v="80"/>
    <x v="83"/>
    <x v="0"/>
    <x v="2"/>
    <x v="83"/>
    <x v="83"/>
    <x v="0"/>
    <x v="2"/>
    <x v="2"/>
  </r>
  <r>
    <x v="84"/>
    <x v="77"/>
    <x v="76"/>
    <x v="0"/>
    <x v="84"/>
    <x v="14"/>
    <x v="2"/>
    <x v="0"/>
    <x v="3"/>
    <x v="3"/>
    <x v="0"/>
    <x v="3"/>
    <x v="84"/>
    <x v="0"/>
    <x v="6"/>
    <x v="81"/>
    <x v="84"/>
    <x v="9"/>
    <x v="0"/>
    <x v="84"/>
    <x v="84"/>
    <x v="0"/>
    <x v="2"/>
    <x v="2"/>
  </r>
  <r>
    <x v="85"/>
    <x v="78"/>
    <x v="77"/>
    <x v="1"/>
    <x v="85"/>
    <x v="6"/>
    <x v="0"/>
    <x v="0"/>
    <x v="2"/>
    <x v="2"/>
    <x v="0"/>
    <x v="2"/>
    <x v="85"/>
    <x v="2"/>
    <x v="2"/>
    <x v="82"/>
    <x v="85"/>
    <x v="8"/>
    <x v="0"/>
    <x v="85"/>
    <x v="85"/>
    <x v="1"/>
    <x v="8"/>
    <x v="0"/>
  </r>
  <r>
    <x v="86"/>
    <x v="79"/>
    <x v="78"/>
    <x v="3"/>
    <x v="86"/>
    <x v="33"/>
    <x v="2"/>
    <x v="0"/>
    <x v="3"/>
    <x v="3"/>
    <x v="0"/>
    <x v="3"/>
    <x v="86"/>
    <x v="2"/>
    <x v="8"/>
    <x v="83"/>
    <x v="86"/>
    <x v="9"/>
    <x v="1"/>
    <x v="86"/>
    <x v="86"/>
    <x v="0"/>
    <x v="10"/>
    <x v="1"/>
  </r>
  <r>
    <x v="87"/>
    <x v="80"/>
    <x v="79"/>
    <x v="3"/>
    <x v="87"/>
    <x v="12"/>
    <x v="0"/>
    <x v="0"/>
    <x v="1"/>
    <x v="1"/>
    <x v="0"/>
    <x v="1"/>
    <x v="87"/>
    <x v="2"/>
    <x v="2"/>
    <x v="84"/>
    <x v="87"/>
    <x v="5"/>
    <x v="1"/>
    <x v="87"/>
    <x v="87"/>
    <x v="0"/>
    <x v="8"/>
    <x v="0"/>
  </r>
  <r>
    <x v="88"/>
    <x v="81"/>
    <x v="80"/>
    <x v="3"/>
    <x v="88"/>
    <x v="22"/>
    <x v="0"/>
    <x v="0"/>
    <x v="2"/>
    <x v="2"/>
    <x v="0"/>
    <x v="2"/>
    <x v="88"/>
    <x v="1"/>
    <x v="1"/>
    <x v="85"/>
    <x v="88"/>
    <x v="1"/>
    <x v="0"/>
    <x v="88"/>
    <x v="88"/>
    <x v="0"/>
    <x v="5"/>
    <x v="1"/>
  </r>
  <r>
    <x v="89"/>
    <x v="82"/>
    <x v="81"/>
    <x v="1"/>
    <x v="89"/>
    <x v="25"/>
    <x v="2"/>
    <x v="0"/>
    <x v="3"/>
    <x v="3"/>
    <x v="0"/>
    <x v="3"/>
    <x v="89"/>
    <x v="0"/>
    <x v="4"/>
    <x v="86"/>
    <x v="89"/>
    <x v="5"/>
    <x v="0"/>
    <x v="89"/>
    <x v="89"/>
    <x v="0"/>
    <x v="9"/>
    <x v="0"/>
  </r>
  <r>
    <x v="90"/>
    <x v="6"/>
    <x v="82"/>
    <x v="2"/>
    <x v="90"/>
    <x v="16"/>
    <x v="2"/>
    <x v="0"/>
    <x v="3"/>
    <x v="3"/>
    <x v="0"/>
    <x v="3"/>
    <x v="90"/>
    <x v="1"/>
    <x v="11"/>
    <x v="87"/>
    <x v="90"/>
    <x v="9"/>
    <x v="0"/>
    <x v="90"/>
    <x v="90"/>
    <x v="0"/>
    <x v="1"/>
    <x v="1"/>
  </r>
  <r>
    <x v="91"/>
    <x v="83"/>
    <x v="83"/>
    <x v="0"/>
    <x v="91"/>
    <x v="5"/>
    <x v="1"/>
    <x v="0"/>
    <x v="3"/>
    <x v="3"/>
    <x v="0"/>
    <x v="3"/>
    <x v="91"/>
    <x v="2"/>
    <x v="2"/>
    <x v="88"/>
    <x v="91"/>
    <x v="9"/>
    <x v="1"/>
    <x v="91"/>
    <x v="91"/>
    <x v="0"/>
    <x v="8"/>
    <x v="0"/>
  </r>
  <r>
    <x v="92"/>
    <x v="23"/>
    <x v="84"/>
    <x v="0"/>
    <x v="92"/>
    <x v="35"/>
    <x v="2"/>
    <x v="0"/>
    <x v="1"/>
    <x v="1"/>
    <x v="0"/>
    <x v="1"/>
    <x v="92"/>
    <x v="2"/>
    <x v="2"/>
    <x v="89"/>
    <x v="92"/>
    <x v="5"/>
    <x v="0"/>
    <x v="92"/>
    <x v="92"/>
    <x v="1"/>
    <x v="0"/>
    <x v="0"/>
  </r>
  <r>
    <x v="93"/>
    <x v="2"/>
    <x v="2"/>
    <x v="0"/>
    <x v="93"/>
    <x v="2"/>
    <x v="2"/>
    <x v="0"/>
    <x v="1"/>
    <x v="1"/>
    <x v="0"/>
    <x v="1"/>
    <x v="93"/>
    <x v="0"/>
    <x v="4"/>
    <x v="90"/>
    <x v="93"/>
    <x v="3"/>
    <x v="2"/>
    <x v="93"/>
    <x v="93"/>
    <x v="0"/>
    <x v="2"/>
    <x v="2"/>
  </r>
  <r>
    <x v="94"/>
    <x v="84"/>
    <x v="85"/>
    <x v="2"/>
    <x v="94"/>
    <x v="34"/>
    <x v="1"/>
    <x v="0"/>
    <x v="1"/>
    <x v="1"/>
    <x v="0"/>
    <x v="1"/>
    <x v="94"/>
    <x v="0"/>
    <x v="3"/>
    <x v="91"/>
    <x v="94"/>
    <x v="9"/>
    <x v="0"/>
    <x v="94"/>
    <x v="94"/>
    <x v="0"/>
    <x v="4"/>
    <x v="2"/>
  </r>
  <r>
    <x v="95"/>
    <x v="85"/>
    <x v="86"/>
    <x v="3"/>
    <x v="95"/>
    <x v="34"/>
    <x v="2"/>
    <x v="0"/>
    <x v="2"/>
    <x v="2"/>
    <x v="0"/>
    <x v="2"/>
    <x v="95"/>
    <x v="1"/>
    <x v="1"/>
    <x v="92"/>
    <x v="95"/>
    <x v="2"/>
    <x v="2"/>
    <x v="95"/>
    <x v="95"/>
    <x v="1"/>
    <x v="10"/>
    <x v="1"/>
  </r>
  <r>
    <x v="96"/>
    <x v="45"/>
    <x v="87"/>
    <x v="0"/>
    <x v="96"/>
    <x v="24"/>
    <x v="0"/>
    <x v="0"/>
    <x v="1"/>
    <x v="1"/>
    <x v="0"/>
    <x v="1"/>
    <x v="96"/>
    <x v="1"/>
    <x v="1"/>
    <x v="93"/>
    <x v="96"/>
    <x v="9"/>
    <x v="1"/>
    <x v="96"/>
    <x v="96"/>
    <x v="0"/>
    <x v="8"/>
    <x v="0"/>
  </r>
  <r>
    <x v="97"/>
    <x v="86"/>
    <x v="88"/>
    <x v="0"/>
    <x v="97"/>
    <x v="10"/>
    <x v="2"/>
    <x v="0"/>
    <x v="0"/>
    <x v="0"/>
    <x v="0"/>
    <x v="0"/>
    <x v="97"/>
    <x v="0"/>
    <x v="4"/>
    <x v="94"/>
    <x v="97"/>
    <x v="4"/>
    <x v="2"/>
    <x v="97"/>
    <x v="97"/>
    <x v="0"/>
    <x v="6"/>
    <x v="3"/>
  </r>
  <r>
    <x v="98"/>
    <x v="87"/>
    <x v="89"/>
    <x v="0"/>
    <x v="98"/>
    <x v="28"/>
    <x v="1"/>
    <x v="0"/>
    <x v="3"/>
    <x v="3"/>
    <x v="0"/>
    <x v="3"/>
    <x v="98"/>
    <x v="1"/>
    <x v="11"/>
    <x v="95"/>
    <x v="98"/>
    <x v="4"/>
    <x v="2"/>
    <x v="98"/>
    <x v="98"/>
    <x v="0"/>
    <x v="3"/>
    <x v="3"/>
  </r>
  <r>
    <x v="99"/>
    <x v="88"/>
    <x v="90"/>
    <x v="3"/>
    <x v="99"/>
    <x v="16"/>
    <x v="0"/>
    <x v="0"/>
    <x v="3"/>
    <x v="3"/>
    <x v="0"/>
    <x v="3"/>
    <x v="99"/>
    <x v="1"/>
    <x v="10"/>
    <x v="96"/>
    <x v="99"/>
    <x v="4"/>
    <x v="2"/>
    <x v="99"/>
    <x v="99"/>
    <x v="0"/>
    <x v="10"/>
    <x v="1"/>
  </r>
  <r>
    <x v="100"/>
    <x v="42"/>
    <x v="84"/>
    <x v="2"/>
    <x v="100"/>
    <x v="9"/>
    <x v="1"/>
    <x v="0"/>
    <x v="1"/>
    <x v="1"/>
    <x v="0"/>
    <x v="1"/>
    <x v="100"/>
    <x v="0"/>
    <x v="6"/>
    <x v="97"/>
    <x v="100"/>
    <x v="8"/>
    <x v="0"/>
    <x v="100"/>
    <x v="100"/>
    <x v="1"/>
    <x v="0"/>
    <x v="0"/>
  </r>
  <r>
    <x v="101"/>
    <x v="13"/>
    <x v="91"/>
    <x v="1"/>
    <x v="101"/>
    <x v="18"/>
    <x v="2"/>
    <x v="0"/>
    <x v="2"/>
    <x v="2"/>
    <x v="0"/>
    <x v="2"/>
    <x v="101"/>
    <x v="2"/>
    <x v="2"/>
    <x v="98"/>
    <x v="101"/>
    <x v="3"/>
    <x v="0"/>
    <x v="101"/>
    <x v="101"/>
    <x v="1"/>
    <x v="0"/>
    <x v="0"/>
  </r>
  <r>
    <x v="102"/>
    <x v="89"/>
    <x v="92"/>
    <x v="2"/>
    <x v="102"/>
    <x v="36"/>
    <x v="1"/>
    <x v="0"/>
    <x v="2"/>
    <x v="2"/>
    <x v="0"/>
    <x v="2"/>
    <x v="102"/>
    <x v="2"/>
    <x v="8"/>
    <x v="99"/>
    <x v="102"/>
    <x v="2"/>
    <x v="2"/>
    <x v="102"/>
    <x v="102"/>
    <x v="0"/>
    <x v="4"/>
    <x v="2"/>
  </r>
  <r>
    <x v="103"/>
    <x v="90"/>
    <x v="34"/>
    <x v="1"/>
    <x v="103"/>
    <x v="37"/>
    <x v="1"/>
    <x v="0"/>
    <x v="0"/>
    <x v="0"/>
    <x v="0"/>
    <x v="0"/>
    <x v="103"/>
    <x v="1"/>
    <x v="10"/>
    <x v="100"/>
    <x v="103"/>
    <x v="9"/>
    <x v="2"/>
    <x v="103"/>
    <x v="103"/>
    <x v="0"/>
    <x v="6"/>
    <x v="3"/>
  </r>
  <r>
    <x v="104"/>
    <x v="61"/>
    <x v="93"/>
    <x v="2"/>
    <x v="104"/>
    <x v="23"/>
    <x v="1"/>
    <x v="0"/>
    <x v="2"/>
    <x v="2"/>
    <x v="0"/>
    <x v="2"/>
    <x v="104"/>
    <x v="0"/>
    <x v="3"/>
    <x v="101"/>
    <x v="104"/>
    <x v="6"/>
    <x v="3"/>
    <x v="104"/>
    <x v="104"/>
    <x v="1"/>
    <x v="5"/>
    <x v="1"/>
  </r>
  <r>
    <x v="105"/>
    <x v="83"/>
    <x v="94"/>
    <x v="3"/>
    <x v="105"/>
    <x v="2"/>
    <x v="1"/>
    <x v="0"/>
    <x v="0"/>
    <x v="0"/>
    <x v="0"/>
    <x v="0"/>
    <x v="105"/>
    <x v="2"/>
    <x v="2"/>
    <x v="102"/>
    <x v="105"/>
    <x v="4"/>
    <x v="3"/>
    <x v="105"/>
    <x v="105"/>
    <x v="0"/>
    <x v="8"/>
    <x v="0"/>
  </r>
  <r>
    <x v="106"/>
    <x v="91"/>
    <x v="95"/>
    <x v="3"/>
    <x v="106"/>
    <x v="38"/>
    <x v="1"/>
    <x v="0"/>
    <x v="2"/>
    <x v="2"/>
    <x v="0"/>
    <x v="2"/>
    <x v="106"/>
    <x v="0"/>
    <x v="4"/>
    <x v="103"/>
    <x v="106"/>
    <x v="3"/>
    <x v="2"/>
    <x v="106"/>
    <x v="106"/>
    <x v="1"/>
    <x v="0"/>
    <x v="0"/>
  </r>
  <r>
    <x v="107"/>
    <x v="43"/>
    <x v="96"/>
    <x v="3"/>
    <x v="107"/>
    <x v="33"/>
    <x v="0"/>
    <x v="0"/>
    <x v="2"/>
    <x v="2"/>
    <x v="0"/>
    <x v="2"/>
    <x v="107"/>
    <x v="2"/>
    <x v="7"/>
    <x v="104"/>
    <x v="107"/>
    <x v="2"/>
    <x v="0"/>
    <x v="107"/>
    <x v="107"/>
    <x v="0"/>
    <x v="10"/>
    <x v="1"/>
  </r>
  <r>
    <x v="108"/>
    <x v="51"/>
    <x v="50"/>
    <x v="2"/>
    <x v="108"/>
    <x v="39"/>
    <x v="0"/>
    <x v="0"/>
    <x v="0"/>
    <x v="0"/>
    <x v="0"/>
    <x v="0"/>
    <x v="108"/>
    <x v="0"/>
    <x v="4"/>
    <x v="105"/>
    <x v="108"/>
    <x v="7"/>
    <x v="1"/>
    <x v="108"/>
    <x v="108"/>
    <x v="0"/>
    <x v="0"/>
    <x v="0"/>
  </r>
  <r>
    <x v="109"/>
    <x v="92"/>
    <x v="34"/>
    <x v="3"/>
    <x v="109"/>
    <x v="14"/>
    <x v="0"/>
    <x v="0"/>
    <x v="3"/>
    <x v="3"/>
    <x v="0"/>
    <x v="3"/>
    <x v="109"/>
    <x v="0"/>
    <x v="6"/>
    <x v="106"/>
    <x v="109"/>
    <x v="6"/>
    <x v="1"/>
    <x v="109"/>
    <x v="109"/>
    <x v="0"/>
    <x v="6"/>
    <x v="3"/>
  </r>
  <r>
    <x v="110"/>
    <x v="93"/>
    <x v="20"/>
    <x v="3"/>
    <x v="110"/>
    <x v="18"/>
    <x v="1"/>
    <x v="0"/>
    <x v="1"/>
    <x v="1"/>
    <x v="0"/>
    <x v="1"/>
    <x v="110"/>
    <x v="2"/>
    <x v="8"/>
    <x v="107"/>
    <x v="110"/>
    <x v="4"/>
    <x v="3"/>
    <x v="110"/>
    <x v="110"/>
    <x v="0"/>
    <x v="1"/>
    <x v="1"/>
  </r>
  <r>
    <x v="111"/>
    <x v="94"/>
    <x v="97"/>
    <x v="2"/>
    <x v="111"/>
    <x v="27"/>
    <x v="2"/>
    <x v="0"/>
    <x v="2"/>
    <x v="2"/>
    <x v="0"/>
    <x v="2"/>
    <x v="111"/>
    <x v="1"/>
    <x v="1"/>
    <x v="108"/>
    <x v="111"/>
    <x v="6"/>
    <x v="3"/>
    <x v="111"/>
    <x v="111"/>
    <x v="0"/>
    <x v="2"/>
    <x v="2"/>
  </r>
  <r>
    <x v="112"/>
    <x v="95"/>
    <x v="98"/>
    <x v="3"/>
    <x v="112"/>
    <x v="40"/>
    <x v="0"/>
    <x v="0"/>
    <x v="3"/>
    <x v="3"/>
    <x v="0"/>
    <x v="3"/>
    <x v="112"/>
    <x v="1"/>
    <x v="10"/>
    <x v="109"/>
    <x v="112"/>
    <x v="8"/>
    <x v="2"/>
    <x v="112"/>
    <x v="112"/>
    <x v="0"/>
    <x v="4"/>
    <x v="2"/>
  </r>
  <r>
    <x v="113"/>
    <x v="27"/>
    <x v="99"/>
    <x v="0"/>
    <x v="113"/>
    <x v="10"/>
    <x v="2"/>
    <x v="0"/>
    <x v="0"/>
    <x v="0"/>
    <x v="0"/>
    <x v="0"/>
    <x v="113"/>
    <x v="1"/>
    <x v="1"/>
    <x v="110"/>
    <x v="113"/>
    <x v="3"/>
    <x v="0"/>
    <x v="113"/>
    <x v="113"/>
    <x v="1"/>
    <x v="6"/>
    <x v="3"/>
  </r>
  <r>
    <x v="114"/>
    <x v="96"/>
    <x v="100"/>
    <x v="2"/>
    <x v="114"/>
    <x v="25"/>
    <x v="2"/>
    <x v="0"/>
    <x v="2"/>
    <x v="2"/>
    <x v="0"/>
    <x v="2"/>
    <x v="114"/>
    <x v="0"/>
    <x v="6"/>
    <x v="111"/>
    <x v="114"/>
    <x v="6"/>
    <x v="0"/>
    <x v="114"/>
    <x v="114"/>
    <x v="1"/>
    <x v="6"/>
    <x v="3"/>
  </r>
  <r>
    <x v="115"/>
    <x v="97"/>
    <x v="16"/>
    <x v="2"/>
    <x v="115"/>
    <x v="11"/>
    <x v="1"/>
    <x v="0"/>
    <x v="2"/>
    <x v="2"/>
    <x v="0"/>
    <x v="2"/>
    <x v="115"/>
    <x v="0"/>
    <x v="3"/>
    <x v="112"/>
    <x v="115"/>
    <x v="2"/>
    <x v="0"/>
    <x v="115"/>
    <x v="115"/>
    <x v="0"/>
    <x v="5"/>
    <x v="1"/>
  </r>
  <r>
    <x v="116"/>
    <x v="27"/>
    <x v="65"/>
    <x v="2"/>
    <x v="116"/>
    <x v="17"/>
    <x v="1"/>
    <x v="0"/>
    <x v="2"/>
    <x v="2"/>
    <x v="0"/>
    <x v="2"/>
    <x v="116"/>
    <x v="2"/>
    <x v="7"/>
    <x v="10"/>
    <x v="116"/>
    <x v="4"/>
    <x v="3"/>
    <x v="116"/>
    <x v="116"/>
    <x v="0"/>
    <x v="6"/>
    <x v="3"/>
  </r>
  <r>
    <x v="117"/>
    <x v="98"/>
    <x v="101"/>
    <x v="1"/>
    <x v="117"/>
    <x v="30"/>
    <x v="1"/>
    <x v="0"/>
    <x v="1"/>
    <x v="1"/>
    <x v="0"/>
    <x v="1"/>
    <x v="117"/>
    <x v="0"/>
    <x v="4"/>
    <x v="113"/>
    <x v="117"/>
    <x v="8"/>
    <x v="0"/>
    <x v="117"/>
    <x v="117"/>
    <x v="1"/>
    <x v="10"/>
    <x v="1"/>
  </r>
  <r>
    <x v="118"/>
    <x v="99"/>
    <x v="102"/>
    <x v="0"/>
    <x v="118"/>
    <x v="28"/>
    <x v="1"/>
    <x v="0"/>
    <x v="1"/>
    <x v="1"/>
    <x v="0"/>
    <x v="1"/>
    <x v="118"/>
    <x v="0"/>
    <x v="4"/>
    <x v="114"/>
    <x v="118"/>
    <x v="7"/>
    <x v="3"/>
    <x v="118"/>
    <x v="118"/>
    <x v="0"/>
    <x v="11"/>
    <x v="2"/>
  </r>
  <r>
    <x v="119"/>
    <x v="100"/>
    <x v="103"/>
    <x v="1"/>
    <x v="119"/>
    <x v="41"/>
    <x v="2"/>
    <x v="0"/>
    <x v="1"/>
    <x v="1"/>
    <x v="0"/>
    <x v="1"/>
    <x v="119"/>
    <x v="0"/>
    <x v="4"/>
    <x v="115"/>
    <x v="119"/>
    <x v="8"/>
    <x v="1"/>
    <x v="119"/>
    <x v="119"/>
    <x v="0"/>
    <x v="11"/>
    <x v="2"/>
  </r>
  <r>
    <x v="120"/>
    <x v="101"/>
    <x v="104"/>
    <x v="0"/>
    <x v="120"/>
    <x v="2"/>
    <x v="2"/>
    <x v="0"/>
    <x v="0"/>
    <x v="0"/>
    <x v="0"/>
    <x v="0"/>
    <x v="120"/>
    <x v="0"/>
    <x v="3"/>
    <x v="27"/>
    <x v="120"/>
    <x v="3"/>
    <x v="3"/>
    <x v="120"/>
    <x v="120"/>
    <x v="1"/>
    <x v="7"/>
    <x v="3"/>
  </r>
  <r>
    <x v="121"/>
    <x v="102"/>
    <x v="105"/>
    <x v="2"/>
    <x v="121"/>
    <x v="12"/>
    <x v="0"/>
    <x v="0"/>
    <x v="3"/>
    <x v="3"/>
    <x v="0"/>
    <x v="3"/>
    <x v="121"/>
    <x v="0"/>
    <x v="4"/>
    <x v="116"/>
    <x v="121"/>
    <x v="0"/>
    <x v="0"/>
    <x v="121"/>
    <x v="121"/>
    <x v="0"/>
    <x v="6"/>
    <x v="3"/>
  </r>
  <r>
    <x v="122"/>
    <x v="103"/>
    <x v="89"/>
    <x v="3"/>
    <x v="122"/>
    <x v="27"/>
    <x v="1"/>
    <x v="0"/>
    <x v="1"/>
    <x v="1"/>
    <x v="0"/>
    <x v="1"/>
    <x v="122"/>
    <x v="1"/>
    <x v="10"/>
    <x v="117"/>
    <x v="122"/>
    <x v="5"/>
    <x v="3"/>
    <x v="122"/>
    <x v="122"/>
    <x v="0"/>
    <x v="3"/>
    <x v="3"/>
  </r>
  <r>
    <x v="123"/>
    <x v="104"/>
    <x v="106"/>
    <x v="3"/>
    <x v="123"/>
    <x v="12"/>
    <x v="2"/>
    <x v="0"/>
    <x v="3"/>
    <x v="3"/>
    <x v="0"/>
    <x v="3"/>
    <x v="123"/>
    <x v="2"/>
    <x v="7"/>
    <x v="118"/>
    <x v="123"/>
    <x v="5"/>
    <x v="3"/>
    <x v="123"/>
    <x v="123"/>
    <x v="0"/>
    <x v="9"/>
    <x v="0"/>
  </r>
  <r>
    <x v="124"/>
    <x v="84"/>
    <x v="107"/>
    <x v="3"/>
    <x v="124"/>
    <x v="42"/>
    <x v="2"/>
    <x v="0"/>
    <x v="2"/>
    <x v="2"/>
    <x v="0"/>
    <x v="2"/>
    <x v="124"/>
    <x v="2"/>
    <x v="2"/>
    <x v="119"/>
    <x v="124"/>
    <x v="3"/>
    <x v="1"/>
    <x v="124"/>
    <x v="124"/>
    <x v="0"/>
    <x v="4"/>
    <x v="2"/>
  </r>
  <r>
    <x v="125"/>
    <x v="105"/>
    <x v="108"/>
    <x v="2"/>
    <x v="125"/>
    <x v="43"/>
    <x v="2"/>
    <x v="0"/>
    <x v="2"/>
    <x v="2"/>
    <x v="0"/>
    <x v="2"/>
    <x v="125"/>
    <x v="0"/>
    <x v="3"/>
    <x v="120"/>
    <x v="125"/>
    <x v="2"/>
    <x v="3"/>
    <x v="125"/>
    <x v="125"/>
    <x v="1"/>
    <x v="2"/>
    <x v="2"/>
  </r>
  <r>
    <x v="126"/>
    <x v="106"/>
    <x v="109"/>
    <x v="1"/>
    <x v="126"/>
    <x v="7"/>
    <x v="0"/>
    <x v="0"/>
    <x v="0"/>
    <x v="0"/>
    <x v="0"/>
    <x v="0"/>
    <x v="126"/>
    <x v="1"/>
    <x v="10"/>
    <x v="121"/>
    <x v="126"/>
    <x v="9"/>
    <x v="3"/>
    <x v="126"/>
    <x v="126"/>
    <x v="0"/>
    <x v="2"/>
    <x v="2"/>
  </r>
  <r>
    <x v="127"/>
    <x v="24"/>
    <x v="110"/>
    <x v="0"/>
    <x v="127"/>
    <x v="28"/>
    <x v="2"/>
    <x v="0"/>
    <x v="1"/>
    <x v="1"/>
    <x v="0"/>
    <x v="1"/>
    <x v="127"/>
    <x v="0"/>
    <x v="4"/>
    <x v="122"/>
    <x v="127"/>
    <x v="5"/>
    <x v="0"/>
    <x v="127"/>
    <x v="127"/>
    <x v="1"/>
    <x v="9"/>
    <x v="0"/>
  </r>
  <r>
    <x v="128"/>
    <x v="107"/>
    <x v="111"/>
    <x v="1"/>
    <x v="128"/>
    <x v="32"/>
    <x v="1"/>
    <x v="0"/>
    <x v="0"/>
    <x v="0"/>
    <x v="0"/>
    <x v="0"/>
    <x v="128"/>
    <x v="1"/>
    <x v="1"/>
    <x v="123"/>
    <x v="128"/>
    <x v="2"/>
    <x v="2"/>
    <x v="128"/>
    <x v="128"/>
    <x v="0"/>
    <x v="8"/>
    <x v="0"/>
  </r>
  <r>
    <x v="129"/>
    <x v="94"/>
    <x v="97"/>
    <x v="3"/>
    <x v="129"/>
    <x v="42"/>
    <x v="2"/>
    <x v="0"/>
    <x v="2"/>
    <x v="2"/>
    <x v="0"/>
    <x v="2"/>
    <x v="129"/>
    <x v="2"/>
    <x v="7"/>
    <x v="124"/>
    <x v="129"/>
    <x v="9"/>
    <x v="0"/>
    <x v="129"/>
    <x v="129"/>
    <x v="0"/>
    <x v="2"/>
    <x v="2"/>
  </r>
  <r>
    <x v="130"/>
    <x v="108"/>
    <x v="112"/>
    <x v="3"/>
    <x v="130"/>
    <x v="11"/>
    <x v="1"/>
    <x v="0"/>
    <x v="3"/>
    <x v="3"/>
    <x v="0"/>
    <x v="3"/>
    <x v="130"/>
    <x v="0"/>
    <x v="0"/>
    <x v="125"/>
    <x v="130"/>
    <x v="9"/>
    <x v="3"/>
    <x v="130"/>
    <x v="130"/>
    <x v="1"/>
    <x v="2"/>
    <x v="2"/>
  </r>
  <r>
    <x v="131"/>
    <x v="14"/>
    <x v="113"/>
    <x v="0"/>
    <x v="131"/>
    <x v="4"/>
    <x v="1"/>
    <x v="0"/>
    <x v="3"/>
    <x v="3"/>
    <x v="0"/>
    <x v="3"/>
    <x v="131"/>
    <x v="0"/>
    <x v="3"/>
    <x v="126"/>
    <x v="131"/>
    <x v="6"/>
    <x v="3"/>
    <x v="131"/>
    <x v="131"/>
    <x v="0"/>
    <x v="9"/>
    <x v="0"/>
  </r>
  <r>
    <x v="132"/>
    <x v="109"/>
    <x v="111"/>
    <x v="3"/>
    <x v="132"/>
    <x v="44"/>
    <x v="2"/>
    <x v="0"/>
    <x v="1"/>
    <x v="1"/>
    <x v="0"/>
    <x v="1"/>
    <x v="132"/>
    <x v="1"/>
    <x v="11"/>
    <x v="127"/>
    <x v="132"/>
    <x v="5"/>
    <x v="3"/>
    <x v="132"/>
    <x v="132"/>
    <x v="0"/>
    <x v="8"/>
    <x v="0"/>
  </r>
  <r>
    <x v="133"/>
    <x v="110"/>
    <x v="114"/>
    <x v="0"/>
    <x v="133"/>
    <x v="0"/>
    <x v="2"/>
    <x v="0"/>
    <x v="2"/>
    <x v="2"/>
    <x v="0"/>
    <x v="2"/>
    <x v="133"/>
    <x v="2"/>
    <x v="2"/>
    <x v="128"/>
    <x v="133"/>
    <x v="3"/>
    <x v="1"/>
    <x v="133"/>
    <x v="133"/>
    <x v="1"/>
    <x v="2"/>
    <x v="2"/>
  </r>
  <r>
    <x v="134"/>
    <x v="96"/>
    <x v="88"/>
    <x v="3"/>
    <x v="134"/>
    <x v="19"/>
    <x v="1"/>
    <x v="0"/>
    <x v="3"/>
    <x v="3"/>
    <x v="0"/>
    <x v="3"/>
    <x v="134"/>
    <x v="1"/>
    <x v="10"/>
    <x v="129"/>
    <x v="134"/>
    <x v="3"/>
    <x v="1"/>
    <x v="134"/>
    <x v="134"/>
    <x v="0"/>
    <x v="6"/>
    <x v="3"/>
  </r>
  <r>
    <x v="135"/>
    <x v="111"/>
    <x v="115"/>
    <x v="2"/>
    <x v="135"/>
    <x v="35"/>
    <x v="1"/>
    <x v="0"/>
    <x v="3"/>
    <x v="3"/>
    <x v="0"/>
    <x v="3"/>
    <x v="135"/>
    <x v="1"/>
    <x v="5"/>
    <x v="130"/>
    <x v="135"/>
    <x v="8"/>
    <x v="3"/>
    <x v="135"/>
    <x v="135"/>
    <x v="0"/>
    <x v="3"/>
    <x v="3"/>
  </r>
  <r>
    <x v="136"/>
    <x v="112"/>
    <x v="107"/>
    <x v="3"/>
    <x v="136"/>
    <x v="15"/>
    <x v="2"/>
    <x v="0"/>
    <x v="1"/>
    <x v="1"/>
    <x v="0"/>
    <x v="1"/>
    <x v="136"/>
    <x v="2"/>
    <x v="7"/>
    <x v="131"/>
    <x v="136"/>
    <x v="7"/>
    <x v="3"/>
    <x v="136"/>
    <x v="136"/>
    <x v="0"/>
    <x v="4"/>
    <x v="2"/>
  </r>
  <r>
    <x v="137"/>
    <x v="113"/>
    <x v="116"/>
    <x v="2"/>
    <x v="137"/>
    <x v="5"/>
    <x v="1"/>
    <x v="0"/>
    <x v="2"/>
    <x v="2"/>
    <x v="0"/>
    <x v="2"/>
    <x v="137"/>
    <x v="1"/>
    <x v="5"/>
    <x v="132"/>
    <x v="137"/>
    <x v="5"/>
    <x v="3"/>
    <x v="137"/>
    <x v="137"/>
    <x v="0"/>
    <x v="4"/>
    <x v="2"/>
  </r>
  <r>
    <x v="138"/>
    <x v="32"/>
    <x v="117"/>
    <x v="2"/>
    <x v="138"/>
    <x v="13"/>
    <x v="0"/>
    <x v="0"/>
    <x v="2"/>
    <x v="2"/>
    <x v="0"/>
    <x v="2"/>
    <x v="138"/>
    <x v="1"/>
    <x v="11"/>
    <x v="133"/>
    <x v="138"/>
    <x v="9"/>
    <x v="2"/>
    <x v="138"/>
    <x v="138"/>
    <x v="0"/>
    <x v="1"/>
    <x v="1"/>
  </r>
  <r>
    <x v="139"/>
    <x v="114"/>
    <x v="118"/>
    <x v="3"/>
    <x v="139"/>
    <x v="3"/>
    <x v="1"/>
    <x v="0"/>
    <x v="3"/>
    <x v="3"/>
    <x v="0"/>
    <x v="3"/>
    <x v="139"/>
    <x v="0"/>
    <x v="3"/>
    <x v="134"/>
    <x v="139"/>
    <x v="9"/>
    <x v="3"/>
    <x v="139"/>
    <x v="139"/>
    <x v="0"/>
    <x v="0"/>
    <x v="0"/>
  </r>
  <r>
    <x v="140"/>
    <x v="115"/>
    <x v="119"/>
    <x v="1"/>
    <x v="140"/>
    <x v="25"/>
    <x v="2"/>
    <x v="0"/>
    <x v="3"/>
    <x v="3"/>
    <x v="0"/>
    <x v="3"/>
    <x v="140"/>
    <x v="0"/>
    <x v="0"/>
    <x v="135"/>
    <x v="140"/>
    <x v="9"/>
    <x v="2"/>
    <x v="140"/>
    <x v="140"/>
    <x v="0"/>
    <x v="11"/>
    <x v="2"/>
  </r>
  <r>
    <x v="141"/>
    <x v="116"/>
    <x v="120"/>
    <x v="3"/>
    <x v="141"/>
    <x v="4"/>
    <x v="1"/>
    <x v="0"/>
    <x v="1"/>
    <x v="1"/>
    <x v="0"/>
    <x v="1"/>
    <x v="141"/>
    <x v="1"/>
    <x v="10"/>
    <x v="136"/>
    <x v="141"/>
    <x v="4"/>
    <x v="2"/>
    <x v="141"/>
    <x v="141"/>
    <x v="0"/>
    <x v="9"/>
    <x v="0"/>
  </r>
  <r>
    <x v="142"/>
    <x v="117"/>
    <x v="121"/>
    <x v="3"/>
    <x v="142"/>
    <x v="38"/>
    <x v="0"/>
    <x v="0"/>
    <x v="1"/>
    <x v="1"/>
    <x v="0"/>
    <x v="1"/>
    <x v="142"/>
    <x v="0"/>
    <x v="6"/>
    <x v="137"/>
    <x v="142"/>
    <x v="1"/>
    <x v="2"/>
    <x v="142"/>
    <x v="142"/>
    <x v="0"/>
    <x v="10"/>
    <x v="1"/>
  </r>
  <r>
    <x v="143"/>
    <x v="118"/>
    <x v="122"/>
    <x v="2"/>
    <x v="143"/>
    <x v="30"/>
    <x v="2"/>
    <x v="0"/>
    <x v="3"/>
    <x v="3"/>
    <x v="0"/>
    <x v="3"/>
    <x v="143"/>
    <x v="0"/>
    <x v="3"/>
    <x v="138"/>
    <x v="143"/>
    <x v="7"/>
    <x v="3"/>
    <x v="143"/>
    <x v="143"/>
    <x v="0"/>
    <x v="8"/>
    <x v="0"/>
  </r>
  <r>
    <x v="144"/>
    <x v="119"/>
    <x v="123"/>
    <x v="1"/>
    <x v="144"/>
    <x v="38"/>
    <x v="1"/>
    <x v="0"/>
    <x v="1"/>
    <x v="1"/>
    <x v="0"/>
    <x v="1"/>
    <x v="144"/>
    <x v="2"/>
    <x v="2"/>
    <x v="139"/>
    <x v="144"/>
    <x v="3"/>
    <x v="3"/>
    <x v="144"/>
    <x v="144"/>
    <x v="0"/>
    <x v="1"/>
    <x v="1"/>
  </r>
  <r>
    <x v="145"/>
    <x v="120"/>
    <x v="124"/>
    <x v="2"/>
    <x v="145"/>
    <x v="21"/>
    <x v="0"/>
    <x v="0"/>
    <x v="3"/>
    <x v="3"/>
    <x v="0"/>
    <x v="3"/>
    <x v="145"/>
    <x v="1"/>
    <x v="11"/>
    <x v="140"/>
    <x v="145"/>
    <x v="3"/>
    <x v="1"/>
    <x v="145"/>
    <x v="145"/>
    <x v="0"/>
    <x v="8"/>
    <x v="0"/>
  </r>
  <r>
    <x v="146"/>
    <x v="44"/>
    <x v="18"/>
    <x v="1"/>
    <x v="146"/>
    <x v="16"/>
    <x v="1"/>
    <x v="0"/>
    <x v="0"/>
    <x v="0"/>
    <x v="0"/>
    <x v="0"/>
    <x v="146"/>
    <x v="1"/>
    <x v="5"/>
    <x v="141"/>
    <x v="146"/>
    <x v="0"/>
    <x v="0"/>
    <x v="146"/>
    <x v="146"/>
    <x v="0"/>
    <x v="9"/>
    <x v="0"/>
  </r>
  <r>
    <x v="147"/>
    <x v="73"/>
    <x v="26"/>
    <x v="3"/>
    <x v="147"/>
    <x v="45"/>
    <x v="0"/>
    <x v="0"/>
    <x v="1"/>
    <x v="1"/>
    <x v="0"/>
    <x v="1"/>
    <x v="147"/>
    <x v="0"/>
    <x v="4"/>
    <x v="76"/>
    <x v="147"/>
    <x v="3"/>
    <x v="3"/>
    <x v="147"/>
    <x v="147"/>
    <x v="1"/>
    <x v="6"/>
    <x v="3"/>
  </r>
  <r>
    <x v="148"/>
    <x v="121"/>
    <x v="125"/>
    <x v="3"/>
    <x v="148"/>
    <x v="24"/>
    <x v="1"/>
    <x v="0"/>
    <x v="2"/>
    <x v="2"/>
    <x v="0"/>
    <x v="2"/>
    <x v="148"/>
    <x v="1"/>
    <x v="1"/>
    <x v="142"/>
    <x v="148"/>
    <x v="6"/>
    <x v="1"/>
    <x v="148"/>
    <x v="148"/>
    <x v="0"/>
    <x v="11"/>
    <x v="2"/>
  </r>
  <r>
    <x v="149"/>
    <x v="122"/>
    <x v="126"/>
    <x v="0"/>
    <x v="149"/>
    <x v="19"/>
    <x v="1"/>
    <x v="0"/>
    <x v="2"/>
    <x v="2"/>
    <x v="0"/>
    <x v="2"/>
    <x v="149"/>
    <x v="2"/>
    <x v="2"/>
    <x v="143"/>
    <x v="149"/>
    <x v="8"/>
    <x v="2"/>
    <x v="149"/>
    <x v="149"/>
    <x v="0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al_Performan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2:C6" firstHeaderRow="0" firstDataRow="1" firstDataCol="1"/>
  <pivotFields count="24"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numFmtId="17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178" showAll="0">
      <items count="128">
        <item x="119"/>
        <item x="68"/>
        <item x="102"/>
        <item x="103"/>
        <item x="125"/>
        <item x="48"/>
        <item x="19"/>
        <item x="29"/>
        <item x="11"/>
        <item x="116"/>
        <item x="98"/>
        <item x="64"/>
        <item x="58"/>
        <item x="92"/>
        <item x="4"/>
        <item x="66"/>
        <item x="107"/>
        <item x="85"/>
        <item x="76"/>
        <item x="114"/>
        <item x="108"/>
        <item x="53"/>
        <item x="75"/>
        <item x="2"/>
        <item x="109"/>
        <item x="72"/>
        <item x="97"/>
        <item x="17"/>
        <item x="40"/>
        <item x="112"/>
        <item x="25"/>
        <item x="32"/>
        <item x="117"/>
        <item x="20"/>
        <item x="82"/>
        <item x="6"/>
        <item x="21"/>
        <item x="45"/>
        <item x="123"/>
        <item x="1"/>
        <item x="5"/>
        <item x="16"/>
        <item x="80"/>
        <item x="51"/>
        <item x="69"/>
        <item x="35"/>
        <item x="47"/>
        <item x="59"/>
        <item x="93"/>
        <item x="126"/>
        <item x="52"/>
        <item x="63"/>
        <item x="86"/>
        <item x="71"/>
        <item x="121"/>
        <item x="57"/>
        <item x="78"/>
        <item x="74"/>
        <item x="56"/>
        <item x="42"/>
        <item x="96"/>
        <item x="90"/>
        <item x="101"/>
        <item x="24"/>
        <item x="3"/>
        <item x="39"/>
        <item x="115"/>
        <item x="89"/>
        <item x="88"/>
        <item x="100"/>
        <item x="105"/>
        <item x="7"/>
        <item x="31"/>
        <item x="34"/>
        <item x="9"/>
        <item x="46"/>
        <item x="65"/>
        <item x="26"/>
        <item x="99"/>
        <item x="49"/>
        <item x="37"/>
        <item x="62"/>
        <item x="54"/>
        <item x="67"/>
        <item x="28"/>
        <item x="27"/>
        <item x="44"/>
        <item x="104"/>
        <item x="10"/>
        <item x="18"/>
        <item x="43"/>
        <item x="110"/>
        <item x="22"/>
        <item x="70"/>
        <item x="106"/>
        <item x="81"/>
        <item x="113"/>
        <item x="14"/>
        <item x="36"/>
        <item x="120"/>
        <item x="38"/>
        <item x="8"/>
        <item x="118"/>
        <item x="50"/>
        <item x="41"/>
        <item x="13"/>
        <item x="84"/>
        <item x="91"/>
        <item x="23"/>
        <item x="0"/>
        <item x="15"/>
        <item x="95"/>
        <item x="60"/>
        <item x="33"/>
        <item x="61"/>
        <item x="83"/>
        <item x="94"/>
        <item x="77"/>
        <item x="122"/>
        <item x="30"/>
        <item x="87"/>
        <item x="12"/>
        <item x="55"/>
        <item x="124"/>
        <item x="111"/>
        <item x="73"/>
        <item x="79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51">
        <item x="147"/>
        <item x="38"/>
        <item x="28"/>
        <item x="112"/>
        <item x="47"/>
        <item x="122"/>
        <item x="67"/>
        <item x="33"/>
        <item x="18"/>
        <item x="81"/>
        <item x="114"/>
        <item x="84"/>
        <item x="86"/>
        <item x="127"/>
        <item x="13"/>
        <item x="56"/>
        <item x="72"/>
        <item x="113"/>
        <item x="40"/>
        <item x="103"/>
        <item x="79"/>
        <item x="51"/>
        <item x="2"/>
        <item x="94"/>
        <item x="24"/>
        <item x="19"/>
        <item x="119"/>
        <item x="52"/>
        <item x="128"/>
        <item x="11"/>
        <item x="75"/>
        <item x="21"/>
        <item x="22"/>
        <item x="146"/>
        <item x="65"/>
        <item x="108"/>
        <item x="60"/>
        <item x="43"/>
        <item x="57"/>
        <item x="32"/>
        <item x="130"/>
        <item x="125"/>
        <item x="83"/>
        <item x="59"/>
        <item x="26"/>
        <item x="91"/>
        <item x="115"/>
        <item x="144"/>
        <item x="25"/>
        <item x="6"/>
        <item x="90"/>
        <item x="107"/>
        <item x="66"/>
        <item x="99"/>
        <item x="55"/>
        <item x="135"/>
        <item x="48"/>
        <item x="14"/>
        <item x="110"/>
        <item x="23"/>
        <item x="50"/>
        <item x="41"/>
        <item x="95"/>
        <item x="136"/>
        <item x="20"/>
        <item x="0"/>
        <item x="36"/>
        <item x="62"/>
        <item x="149"/>
        <item x="44"/>
        <item x="49"/>
        <item x="109"/>
        <item x="143"/>
        <item x="118"/>
        <item x="133"/>
        <item x="70"/>
        <item x="134"/>
        <item x="37"/>
        <item x="105"/>
        <item x="39"/>
        <item x="104"/>
        <item x="129"/>
        <item x="121"/>
        <item x="7"/>
        <item x="116"/>
        <item x="5"/>
        <item x="64"/>
        <item x="17"/>
        <item x="139"/>
        <item x="145"/>
        <item x="77"/>
        <item x="98"/>
        <item x="96"/>
        <item x="53"/>
        <item x="15"/>
        <item x="97"/>
        <item x="142"/>
        <item x="120"/>
        <item x="34"/>
        <item x="87"/>
        <item x="46"/>
        <item x="132"/>
        <item x="54"/>
        <item x="4"/>
        <item x="85"/>
        <item x="27"/>
        <item x="63"/>
        <item x="102"/>
        <item x="68"/>
        <item x="88"/>
        <item x="76"/>
        <item x="10"/>
        <item x="80"/>
        <item x="45"/>
        <item x="131"/>
        <item x="124"/>
        <item x="138"/>
        <item x="9"/>
        <item x="126"/>
        <item x="111"/>
        <item x="61"/>
        <item x="12"/>
        <item x="141"/>
        <item x="92"/>
        <item x="148"/>
        <item x="35"/>
        <item x="137"/>
        <item x="16"/>
        <item x="8"/>
        <item x="1"/>
        <item x="100"/>
        <item x="82"/>
        <item x="73"/>
        <item x="29"/>
        <item x="101"/>
        <item x="58"/>
        <item x="74"/>
        <item x="78"/>
        <item x="31"/>
        <item x="69"/>
        <item x="71"/>
        <item x="42"/>
        <item x="3"/>
        <item x="117"/>
        <item x="30"/>
        <item x="89"/>
        <item x="106"/>
        <item x="140"/>
        <item x="93"/>
        <item x="123"/>
        <item t="default"/>
      </items>
    </pivotField>
    <pivotField compact="0" showAll="0">
      <items count="47">
        <item x="8"/>
        <item x="27"/>
        <item x="39"/>
        <item x="30"/>
        <item x="1"/>
        <item x="35"/>
        <item x="7"/>
        <item x="0"/>
        <item x="17"/>
        <item x="5"/>
        <item x="34"/>
        <item x="10"/>
        <item x="28"/>
        <item x="40"/>
        <item x="31"/>
        <item x="21"/>
        <item x="41"/>
        <item x="20"/>
        <item x="44"/>
        <item x="12"/>
        <item x="13"/>
        <item x="14"/>
        <item x="29"/>
        <item x="37"/>
        <item x="42"/>
        <item x="26"/>
        <item x="45"/>
        <item x="19"/>
        <item x="36"/>
        <item x="18"/>
        <item x="3"/>
        <item x="4"/>
        <item x="6"/>
        <item x="11"/>
        <item x="23"/>
        <item x="38"/>
        <item x="43"/>
        <item x="15"/>
        <item x="24"/>
        <item x="9"/>
        <item x="22"/>
        <item x="32"/>
        <item x="2"/>
        <item x="16"/>
        <item x="25"/>
        <item x="3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5">
        <item h="1" x="3"/>
        <item x="2"/>
        <item x="1"/>
        <item x="0"/>
        <item t="default"/>
      </items>
    </pivotField>
    <pivotField compact="0" showAll="0">
      <items count="151">
        <item x="23"/>
        <item x="40"/>
        <item x="10"/>
        <item x="46"/>
        <item x="123"/>
        <item x="61"/>
        <item x="129"/>
        <item x="51"/>
        <item x="116"/>
        <item x="47"/>
        <item x="136"/>
        <item x="59"/>
        <item x="57"/>
        <item x="107"/>
        <item x="50"/>
        <item x="54"/>
        <item x="36"/>
        <item x="110"/>
        <item x="42"/>
        <item x="102"/>
        <item x="63"/>
        <item x="43"/>
        <item x="60"/>
        <item x="25"/>
        <item x="11"/>
        <item x="66"/>
        <item x="17"/>
        <item x="86"/>
        <item x="49"/>
        <item x="38"/>
        <item x="91"/>
        <item x="20"/>
        <item x="70"/>
        <item x="92"/>
        <item x="21"/>
        <item x="33"/>
        <item x="4"/>
        <item x="35"/>
        <item x="133"/>
        <item x="77"/>
        <item x="2"/>
        <item x="144"/>
        <item x="79"/>
        <item x="105"/>
        <item x="87"/>
        <item x="85"/>
        <item x="124"/>
        <item x="101"/>
        <item x="149"/>
        <item x="65"/>
        <item x="73"/>
        <item x="58"/>
        <item x="28"/>
        <item x="94"/>
        <item x="5"/>
        <item x="104"/>
        <item x="115"/>
        <item x="74"/>
        <item x="143"/>
        <item x="120"/>
        <item x="125"/>
        <item x="30"/>
        <item x="131"/>
        <item x="139"/>
        <item x="9"/>
        <item x="71"/>
        <item x="82"/>
        <item x="26"/>
        <item x="13"/>
        <item x="39"/>
        <item x="48"/>
        <item x="29"/>
        <item x="108"/>
        <item x="89"/>
        <item x="6"/>
        <item x="45"/>
        <item x="75"/>
        <item x="117"/>
        <item x="72"/>
        <item x="118"/>
        <item x="121"/>
        <item x="78"/>
        <item x="97"/>
        <item x="119"/>
        <item x="127"/>
        <item x="147"/>
        <item x="93"/>
        <item x="106"/>
        <item x="130"/>
        <item x="3"/>
        <item x="31"/>
        <item x="68"/>
        <item x="44"/>
        <item x="24"/>
        <item x="19"/>
        <item x="140"/>
        <item x="0"/>
        <item x="41"/>
        <item x="84"/>
        <item x="22"/>
        <item x="18"/>
        <item x="56"/>
        <item x="114"/>
        <item x="8"/>
        <item x="100"/>
        <item x="32"/>
        <item x="109"/>
        <item x="142"/>
        <item x="76"/>
        <item x="96"/>
        <item x="81"/>
        <item x="88"/>
        <item x="67"/>
        <item x="113"/>
        <item x="148"/>
        <item x="1"/>
        <item x="111"/>
        <item x="95"/>
        <item x="128"/>
        <item x="141"/>
        <item x="112"/>
        <item x="122"/>
        <item x="34"/>
        <item x="99"/>
        <item x="16"/>
        <item x="15"/>
        <item x="53"/>
        <item x="37"/>
        <item x="103"/>
        <item x="126"/>
        <item x="134"/>
        <item x="145"/>
        <item x="132"/>
        <item x="98"/>
        <item x="80"/>
        <item x="90"/>
        <item x="64"/>
        <item x="52"/>
        <item x="138"/>
        <item x="7"/>
        <item x="27"/>
        <item x="62"/>
        <item x="135"/>
        <item x="12"/>
        <item x="83"/>
        <item x="137"/>
        <item x="55"/>
        <item x="14"/>
        <item x="69"/>
        <item x="146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3">
        <item x="1"/>
        <item x="3"/>
        <item x="9"/>
        <item x="7"/>
        <item x="10"/>
        <item x="8"/>
        <item x="4"/>
        <item x="11"/>
        <item x="0"/>
        <item x="5"/>
        <item x="6"/>
        <item x="2"/>
        <item t="default"/>
      </items>
    </pivotField>
    <pivotField compact="0" showAll="0">
      <items count="145">
        <item x="1"/>
        <item x="110"/>
        <item x="74"/>
        <item x="92"/>
        <item x="108"/>
        <item x="93"/>
        <item x="142"/>
        <item x="65"/>
        <item x="123"/>
        <item x="78"/>
        <item x="85"/>
        <item x="56"/>
        <item x="27"/>
        <item x="91"/>
        <item x="5"/>
        <item x="126"/>
        <item x="29"/>
        <item x="101"/>
        <item x="134"/>
        <item x="112"/>
        <item x="9"/>
        <item x="138"/>
        <item x="72"/>
        <item x="71"/>
        <item x="120"/>
        <item x="38"/>
        <item x="25"/>
        <item x="79"/>
        <item x="69"/>
        <item x="46"/>
        <item x="13"/>
        <item x="124"/>
        <item x="49"/>
        <item x="10"/>
        <item x="39"/>
        <item x="45"/>
        <item x="22"/>
        <item x="59"/>
        <item x="118"/>
        <item x="131"/>
        <item x="57"/>
        <item x="55"/>
        <item x="48"/>
        <item x="104"/>
        <item x="51"/>
        <item x="117"/>
        <item x="109"/>
        <item x="121"/>
        <item x="36"/>
        <item x="16"/>
        <item x="100"/>
        <item x="33"/>
        <item x="129"/>
        <item x="15"/>
        <item x="136"/>
        <item x="96"/>
        <item x="35"/>
        <item x="17"/>
        <item x="11"/>
        <item x="83"/>
        <item x="99"/>
        <item x="47"/>
        <item x="42"/>
        <item x="61"/>
        <item x="41"/>
        <item x="37"/>
        <item x="52"/>
        <item x="24"/>
        <item x="64"/>
        <item x="107"/>
        <item x="58"/>
        <item x="94"/>
        <item x="113"/>
        <item x="73"/>
        <item x="6"/>
        <item x="86"/>
        <item x="115"/>
        <item x="103"/>
        <item x="114"/>
        <item x="105"/>
        <item x="44"/>
        <item x="70"/>
        <item x="28"/>
        <item x="122"/>
        <item x="90"/>
        <item x="116"/>
        <item x="76"/>
        <item x="95"/>
        <item x="127"/>
        <item x="62"/>
        <item x="140"/>
        <item x="87"/>
        <item x="77"/>
        <item x="50"/>
        <item x="133"/>
        <item x="125"/>
        <item x="0"/>
        <item x="135"/>
        <item x="30"/>
        <item x="43"/>
        <item x="23"/>
        <item x="3"/>
        <item x="66"/>
        <item x="67"/>
        <item x="7"/>
        <item x="141"/>
        <item x="12"/>
        <item x="80"/>
        <item x="14"/>
        <item x="132"/>
        <item x="26"/>
        <item x="53"/>
        <item x="130"/>
        <item x="60"/>
        <item x="31"/>
        <item x="21"/>
        <item x="40"/>
        <item x="54"/>
        <item x="81"/>
        <item x="106"/>
        <item x="18"/>
        <item x="97"/>
        <item x="111"/>
        <item x="137"/>
        <item x="8"/>
        <item x="102"/>
        <item x="128"/>
        <item x="19"/>
        <item x="88"/>
        <item x="119"/>
        <item x="68"/>
        <item x="89"/>
        <item x="63"/>
        <item x="98"/>
        <item x="84"/>
        <item x="20"/>
        <item x="2"/>
        <item x="139"/>
        <item x="75"/>
        <item x="34"/>
        <item x="143"/>
        <item x="4"/>
        <item x="82"/>
        <item x="32"/>
        <item t="default"/>
      </items>
    </pivotField>
    <pivotField dataField="1" compact="0" numFmtId="4" showAll="0">
      <items count="151">
        <item x="106"/>
        <item x="130"/>
        <item x="101"/>
        <item x="117"/>
        <item x="125"/>
        <item x="127"/>
        <item x="120"/>
        <item x="104"/>
        <item x="133"/>
        <item x="74"/>
        <item x="85"/>
        <item x="56"/>
        <item x="95"/>
        <item x="75"/>
        <item x="34"/>
        <item x="6"/>
        <item x="114"/>
        <item x="36"/>
        <item x="62"/>
        <item x="45"/>
        <item x="17"/>
        <item x="9"/>
        <item x="147"/>
        <item x="31"/>
        <item x="81"/>
        <item x="41"/>
        <item x="3"/>
        <item x="58"/>
        <item x="4"/>
        <item x="35"/>
        <item x="22"/>
        <item x="113"/>
        <item x="57"/>
        <item x="92"/>
        <item x="100"/>
        <item x="27"/>
        <item x="47"/>
        <item x="126"/>
        <item x="61"/>
        <item x="108"/>
        <item x="123"/>
        <item x="40"/>
        <item x="77"/>
        <item x="94"/>
        <item x="73"/>
        <item x="30"/>
        <item x="78"/>
        <item x="111"/>
        <item x="14"/>
        <item x="49"/>
        <item x="44"/>
        <item x="97"/>
        <item x="52"/>
        <item x="93"/>
        <item x="80"/>
        <item x="15"/>
        <item x="86"/>
        <item x="65"/>
        <item x="138"/>
        <item x="20"/>
        <item x="134"/>
        <item x="143"/>
        <item x="13"/>
        <item x="16"/>
        <item x="84"/>
        <item x="98"/>
        <item x="103"/>
        <item x="70"/>
        <item x="139"/>
        <item x="107"/>
        <item x="149"/>
        <item x="115"/>
        <item x="60"/>
        <item x="24"/>
        <item x="136"/>
        <item x="96"/>
        <item x="19"/>
        <item x="12"/>
        <item x="83"/>
        <item x="0"/>
        <item x="105"/>
        <item x="28"/>
        <item x="135"/>
        <item x="89"/>
        <item x="102"/>
        <item x="129"/>
        <item x="7"/>
        <item x="71"/>
        <item x="146"/>
        <item x="8"/>
        <item x="55"/>
        <item x="50"/>
        <item x="33"/>
        <item x="63"/>
        <item x="51"/>
        <item x="48"/>
        <item x="142"/>
        <item x="87"/>
        <item x="2"/>
        <item x="116"/>
        <item x="88"/>
        <item x="25"/>
        <item x="118"/>
        <item x="76"/>
        <item x="1"/>
        <item x="99"/>
        <item x="69"/>
        <item x="109"/>
        <item x="23"/>
        <item x="82"/>
        <item x="122"/>
        <item x="26"/>
        <item x="137"/>
        <item x="131"/>
        <item x="59"/>
        <item x="32"/>
        <item x="5"/>
        <item x="128"/>
        <item x="21"/>
        <item x="90"/>
        <item x="72"/>
        <item x="110"/>
        <item x="68"/>
        <item x="132"/>
        <item x="91"/>
        <item x="10"/>
        <item x="46"/>
        <item x="38"/>
        <item x="37"/>
        <item x="67"/>
        <item x="66"/>
        <item x="112"/>
        <item x="145"/>
        <item x="29"/>
        <item x="11"/>
        <item x="144"/>
        <item x="64"/>
        <item x="43"/>
        <item x="42"/>
        <item x="141"/>
        <item x="79"/>
        <item x="54"/>
        <item x="18"/>
        <item x="140"/>
        <item x="119"/>
        <item x="121"/>
        <item x="39"/>
        <item x="53"/>
        <item x="124"/>
        <item x="148"/>
        <item t="default"/>
      </items>
    </pivotField>
    <pivotField compact="0" numFmtId="3" showAll="0">
      <items count="11">
        <item x="0"/>
        <item x="4"/>
        <item x="1"/>
        <item x="7"/>
        <item x="3"/>
        <item x="5"/>
        <item x="6"/>
        <item x="8"/>
        <item x="2"/>
        <item x="9"/>
        <item t="default"/>
      </items>
    </pivotField>
    <pivotField compact="0" numFmtId="179" showAll="0">
      <items count="5">
        <item x="0"/>
        <item x="2"/>
        <item x="3"/>
        <item x="1"/>
        <item t="default"/>
      </items>
    </pivotField>
    <pivotField dataField="1" compact="0" numFmtId="4" showAll="0">
      <items count="151">
        <item x="141"/>
        <item x="18"/>
        <item x="91"/>
        <item x="55"/>
        <item x="12"/>
        <item x="51"/>
        <item x="110"/>
        <item x="24"/>
        <item x="134"/>
        <item x="144"/>
        <item x="48"/>
        <item x="94"/>
        <item x="0"/>
        <item x="20"/>
        <item x="116"/>
        <item x="86"/>
        <item x="80"/>
        <item x="113"/>
        <item x="69"/>
        <item x="81"/>
        <item x="148"/>
        <item x="70"/>
        <item x="124"/>
        <item x="30"/>
        <item x="145"/>
        <item x="22"/>
        <item x="32"/>
        <item x="104"/>
        <item x="117"/>
        <item x="111"/>
        <item x="123"/>
        <item x="147"/>
        <item x="52"/>
        <item x="33"/>
        <item x="127"/>
        <item x="120"/>
        <item x="106"/>
        <item x="130"/>
        <item x="83"/>
        <item x="15"/>
        <item x="101"/>
        <item x="5"/>
        <item x="95"/>
        <item x="40"/>
        <item x="82"/>
        <item x="27"/>
        <item x="75"/>
        <item x="38"/>
        <item x="138"/>
        <item x="60"/>
        <item x="125"/>
        <item x="31"/>
        <item x="62"/>
        <item x="49"/>
        <item x="114"/>
        <item x="74"/>
        <item x="87"/>
        <item x="9"/>
        <item x="128"/>
        <item x="133"/>
        <item x="17"/>
        <item x="45"/>
        <item x="103"/>
        <item x="36"/>
        <item x="6"/>
        <item x="100"/>
        <item x="85"/>
        <item x="4"/>
        <item x="56"/>
        <item x="57"/>
        <item x="1"/>
        <item x="126"/>
        <item x="115"/>
        <item x="97"/>
        <item x="118"/>
        <item x="59"/>
        <item x="7"/>
        <item x="34"/>
        <item x="35"/>
        <item x="47"/>
        <item x="146"/>
        <item x="44"/>
        <item x="41"/>
        <item x="122"/>
        <item x="28"/>
        <item x="29"/>
        <item x="139"/>
        <item x="8"/>
        <item x="119"/>
        <item x="108"/>
        <item x="3"/>
        <item x="11"/>
        <item x="143"/>
        <item x="67"/>
        <item x="77"/>
        <item x="129"/>
        <item x="58"/>
        <item x="131"/>
        <item x="135"/>
        <item x="136"/>
        <item x="14"/>
        <item x="61"/>
        <item x="105"/>
        <item x="92"/>
        <item x="89"/>
        <item x="93"/>
        <item x="107"/>
        <item x="13"/>
        <item x="142"/>
        <item x="84"/>
        <item x="88"/>
        <item x="73"/>
        <item x="96"/>
        <item x="71"/>
        <item x="78"/>
        <item x="46"/>
        <item x="90"/>
        <item x="16"/>
        <item x="149"/>
        <item x="79"/>
        <item x="68"/>
        <item x="43"/>
        <item x="65"/>
        <item x="98"/>
        <item x="50"/>
        <item x="21"/>
        <item x="53"/>
        <item x="54"/>
        <item x="23"/>
        <item x="19"/>
        <item x="137"/>
        <item x="121"/>
        <item x="10"/>
        <item x="102"/>
        <item x="140"/>
        <item x="112"/>
        <item x="26"/>
        <item x="42"/>
        <item x="72"/>
        <item x="63"/>
        <item x="2"/>
        <item x="99"/>
        <item x="64"/>
        <item x="76"/>
        <item x="25"/>
        <item x="109"/>
        <item x="37"/>
        <item x="132"/>
        <item x="39"/>
        <item x="66"/>
        <item t="default"/>
      </items>
    </pivotField>
    <pivotField compact="0" numFmtId="10" showAll="0">
      <items count="151">
        <item x="12"/>
        <item x="94"/>
        <item x="141"/>
        <item x="134"/>
        <item x="55"/>
        <item x="24"/>
        <item x="51"/>
        <item x="113"/>
        <item x="81"/>
        <item x="18"/>
        <item x="91"/>
        <item x="20"/>
        <item x="110"/>
        <item x="48"/>
        <item x="0"/>
        <item x="86"/>
        <item x="80"/>
        <item x="144"/>
        <item x="116"/>
        <item x="69"/>
        <item x="70"/>
        <item x="148"/>
        <item x="30"/>
        <item x="124"/>
        <item x="22"/>
        <item x="145"/>
        <item x="32"/>
        <item x="111"/>
        <item x="33"/>
        <item x="123"/>
        <item x="104"/>
        <item x="52"/>
        <item x="83"/>
        <item x="5"/>
        <item x="38"/>
        <item x="82"/>
        <item x="15"/>
        <item x="147"/>
        <item x="117"/>
        <item x="128"/>
        <item x="87"/>
        <item x="60"/>
        <item x="40"/>
        <item x="138"/>
        <item x="1"/>
        <item x="59"/>
        <item x="27"/>
        <item x="49"/>
        <item x="118"/>
        <item x="103"/>
        <item x="29"/>
        <item x="119"/>
        <item x="122"/>
        <item x="7"/>
        <item x="115"/>
        <item x="11"/>
        <item x="67"/>
        <item x="146"/>
        <item x="8"/>
        <item x="97"/>
        <item x="28"/>
        <item x="120"/>
        <item x="127"/>
        <item x="131"/>
        <item x="31"/>
        <item x="126"/>
        <item x="100"/>
        <item x="139"/>
        <item x="95"/>
        <item x="57"/>
        <item x="129"/>
        <item x="44"/>
        <item x="75"/>
        <item x="4"/>
        <item x="135"/>
        <item x="9"/>
        <item x="62"/>
        <item x="136"/>
        <item x="47"/>
        <item x="143"/>
        <item x="105"/>
        <item x="142"/>
        <item x="46"/>
        <item x="89"/>
        <item x="17"/>
        <item x="88"/>
        <item x="79"/>
        <item x="43"/>
        <item x="53"/>
        <item x="90"/>
        <item x="108"/>
        <item x="114"/>
        <item x="45"/>
        <item x="54"/>
        <item x="35"/>
        <item x="68"/>
        <item x="101"/>
        <item x="130"/>
        <item x="107"/>
        <item x="71"/>
        <item x="21"/>
        <item x="121"/>
        <item x="14"/>
        <item x="77"/>
        <item x="36"/>
        <item x="96"/>
        <item x="140"/>
        <item x="13"/>
        <item x="84"/>
        <item x="10"/>
        <item x="50"/>
        <item x="23"/>
        <item x="6"/>
        <item x="41"/>
        <item x="93"/>
        <item x="137"/>
        <item x="112"/>
        <item x="61"/>
        <item x="42"/>
        <item x="74"/>
        <item x="64"/>
        <item x="149"/>
        <item x="72"/>
        <item x="3"/>
        <item x="37"/>
        <item x="133"/>
        <item x="26"/>
        <item x="92"/>
        <item x="125"/>
        <item x="85"/>
        <item x="16"/>
        <item x="98"/>
        <item x="39"/>
        <item x="56"/>
        <item x="73"/>
        <item x="19"/>
        <item x="78"/>
        <item x="34"/>
        <item x="106"/>
        <item x="99"/>
        <item x="102"/>
        <item x="109"/>
        <item x="76"/>
        <item x="2"/>
        <item x="132"/>
        <item x="25"/>
        <item x="63"/>
        <item x="65"/>
        <item x="66"/>
        <item x="5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1"/>
        <item x="4"/>
        <item x="2"/>
        <item x="1"/>
        <item x="5"/>
        <item x="10"/>
        <item x="3"/>
        <item x="6"/>
        <item x="7"/>
        <item x="9"/>
        <item x="0"/>
        <item x="8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Category_Profitabilit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F2:H6" firstHeaderRow="0" firstDataRow="1" firstDataCol="1"/>
  <pivotFields count="24"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numFmtId="17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178" showAll="0">
      <items count="128">
        <item x="119"/>
        <item x="68"/>
        <item x="102"/>
        <item x="103"/>
        <item x="125"/>
        <item x="48"/>
        <item x="19"/>
        <item x="29"/>
        <item x="11"/>
        <item x="116"/>
        <item x="98"/>
        <item x="64"/>
        <item x="58"/>
        <item x="92"/>
        <item x="4"/>
        <item x="66"/>
        <item x="107"/>
        <item x="85"/>
        <item x="76"/>
        <item x="114"/>
        <item x="108"/>
        <item x="53"/>
        <item x="75"/>
        <item x="2"/>
        <item x="109"/>
        <item x="72"/>
        <item x="97"/>
        <item x="17"/>
        <item x="40"/>
        <item x="112"/>
        <item x="25"/>
        <item x="32"/>
        <item x="117"/>
        <item x="20"/>
        <item x="82"/>
        <item x="6"/>
        <item x="21"/>
        <item x="45"/>
        <item x="123"/>
        <item x="1"/>
        <item x="5"/>
        <item x="16"/>
        <item x="80"/>
        <item x="51"/>
        <item x="69"/>
        <item x="35"/>
        <item x="47"/>
        <item x="59"/>
        <item x="93"/>
        <item x="126"/>
        <item x="52"/>
        <item x="63"/>
        <item x="86"/>
        <item x="71"/>
        <item x="121"/>
        <item x="57"/>
        <item x="78"/>
        <item x="74"/>
        <item x="56"/>
        <item x="42"/>
        <item x="96"/>
        <item x="90"/>
        <item x="101"/>
        <item x="24"/>
        <item x="3"/>
        <item x="39"/>
        <item x="115"/>
        <item x="89"/>
        <item x="88"/>
        <item x="100"/>
        <item x="105"/>
        <item x="7"/>
        <item x="31"/>
        <item x="34"/>
        <item x="9"/>
        <item x="46"/>
        <item x="65"/>
        <item x="26"/>
        <item x="99"/>
        <item x="49"/>
        <item x="37"/>
        <item x="62"/>
        <item x="54"/>
        <item x="67"/>
        <item x="28"/>
        <item x="27"/>
        <item x="44"/>
        <item x="104"/>
        <item x="10"/>
        <item x="18"/>
        <item x="43"/>
        <item x="110"/>
        <item x="22"/>
        <item x="70"/>
        <item x="106"/>
        <item x="81"/>
        <item x="113"/>
        <item x="14"/>
        <item x="36"/>
        <item x="120"/>
        <item x="38"/>
        <item x="8"/>
        <item x="118"/>
        <item x="50"/>
        <item x="41"/>
        <item x="13"/>
        <item x="84"/>
        <item x="91"/>
        <item x="23"/>
        <item x="0"/>
        <item x="15"/>
        <item x="95"/>
        <item x="60"/>
        <item x="33"/>
        <item x="61"/>
        <item x="83"/>
        <item x="94"/>
        <item x="77"/>
        <item x="122"/>
        <item x="30"/>
        <item x="87"/>
        <item x="12"/>
        <item x="55"/>
        <item x="124"/>
        <item x="111"/>
        <item x="73"/>
        <item x="79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51">
        <item x="147"/>
        <item x="38"/>
        <item x="28"/>
        <item x="112"/>
        <item x="47"/>
        <item x="122"/>
        <item x="67"/>
        <item x="33"/>
        <item x="18"/>
        <item x="81"/>
        <item x="114"/>
        <item x="84"/>
        <item x="86"/>
        <item x="127"/>
        <item x="13"/>
        <item x="56"/>
        <item x="72"/>
        <item x="113"/>
        <item x="40"/>
        <item x="103"/>
        <item x="79"/>
        <item x="51"/>
        <item x="2"/>
        <item x="94"/>
        <item x="24"/>
        <item x="19"/>
        <item x="119"/>
        <item x="52"/>
        <item x="128"/>
        <item x="11"/>
        <item x="75"/>
        <item x="21"/>
        <item x="22"/>
        <item x="146"/>
        <item x="65"/>
        <item x="108"/>
        <item x="60"/>
        <item x="43"/>
        <item x="57"/>
        <item x="32"/>
        <item x="130"/>
        <item x="125"/>
        <item x="83"/>
        <item x="59"/>
        <item x="26"/>
        <item x="91"/>
        <item x="115"/>
        <item x="144"/>
        <item x="25"/>
        <item x="6"/>
        <item x="90"/>
        <item x="107"/>
        <item x="66"/>
        <item x="99"/>
        <item x="55"/>
        <item x="135"/>
        <item x="48"/>
        <item x="14"/>
        <item x="110"/>
        <item x="23"/>
        <item x="50"/>
        <item x="41"/>
        <item x="95"/>
        <item x="136"/>
        <item x="20"/>
        <item x="0"/>
        <item x="36"/>
        <item x="62"/>
        <item x="149"/>
        <item x="44"/>
        <item x="49"/>
        <item x="109"/>
        <item x="143"/>
        <item x="118"/>
        <item x="133"/>
        <item x="70"/>
        <item x="134"/>
        <item x="37"/>
        <item x="105"/>
        <item x="39"/>
        <item x="104"/>
        <item x="129"/>
        <item x="121"/>
        <item x="7"/>
        <item x="116"/>
        <item x="5"/>
        <item x="64"/>
        <item x="17"/>
        <item x="139"/>
        <item x="145"/>
        <item x="77"/>
        <item x="98"/>
        <item x="96"/>
        <item x="53"/>
        <item x="15"/>
        <item x="97"/>
        <item x="142"/>
        <item x="120"/>
        <item x="34"/>
        <item x="87"/>
        <item x="46"/>
        <item x="132"/>
        <item x="54"/>
        <item x="4"/>
        <item x="85"/>
        <item x="27"/>
        <item x="63"/>
        <item x="102"/>
        <item x="68"/>
        <item x="88"/>
        <item x="76"/>
        <item x="10"/>
        <item x="80"/>
        <item x="45"/>
        <item x="131"/>
        <item x="124"/>
        <item x="138"/>
        <item x="9"/>
        <item x="126"/>
        <item x="111"/>
        <item x="61"/>
        <item x="12"/>
        <item x="141"/>
        <item x="92"/>
        <item x="148"/>
        <item x="35"/>
        <item x="137"/>
        <item x="16"/>
        <item x="8"/>
        <item x="1"/>
        <item x="100"/>
        <item x="82"/>
        <item x="73"/>
        <item x="29"/>
        <item x="101"/>
        <item x="58"/>
        <item x="74"/>
        <item x="78"/>
        <item x="31"/>
        <item x="69"/>
        <item x="71"/>
        <item x="42"/>
        <item x="3"/>
        <item x="117"/>
        <item x="30"/>
        <item x="89"/>
        <item x="106"/>
        <item x="140"/>
        <item x="93"/>
        <item x="123"/>
        <item t="default"/>
      </items>
    </pivotField>
    <pivotField compact="0" showAll="0">
      <items count="47">
        <item x="8"/>
        <item x="27"/>
        <item x="39"/>
        <item x="30"/>
        <item x="1"/>
        <item x="35"/>
        <item x="7"/>
        <item x="0"/>
        <item x="17"/>
        <item x="5"/>
        <item x="34"/>
        <item x="10"/>
        <item x="28"/>
        <item x="40"/>
        <item x="31"/>
        <item x="21"/>
        <item x="41"/>
        <item x="20"/>
        <item x="44"/>
        <item x="12"/>
        <item x="13"/>
        <item x="14"/>
        <item x="29"/>
        <item x="37"/>
        <item x="42"/>
        <item x="26"/>
        <item x="45"/>
        <item x="19"/>
        <item x="36"/>
        <item x="18"/>
        <item x="3"/>
        <item x="4"/>
        <item x="6"/>
        <item x="11"/>
        <item x="23"/>
        <item x="38"/>
        <item x="43"/>
        <item x="15"/>
        <item x="24"/>
        <item x="9"/>
        <item x="22"/>
        <item x="32"/>
        <item x="2"/>
        <item x="16"/>
        <item x="25"/>
        <item x="3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h="1" x="3"/>
        <item x="2"/>
        <item x="1"/>
        <item x="0"/>
        <item t="default"/>
      </items>
    </pivotField>
    <pivotField compact="0" showAll="0">
      <items count="151">
        <item x="23"/>
        <item x="40"/>
        <item x="10"/>
        <item x="46"/>
        <item x="123"/>
        <item x="61"/>
        <item x="129"/>
        <item x="51"/>
        <item x="116"/>
        <item x="47"/>
        <item x="136"/>
        <item x="59"/>
        <item x="57"/>
        <item x="107"/>
        <item x="50"/>
        <item x="54"/>
        <item x="36"/>
        <item x="110"/>
        <item x="42"/>
        <item x="102"/>
        <item x="63"/>
        <item x="43"/>
        <item x="60"/>
        <item x="25"/>
        <item x="11"/>
        <item x="66"/>
        <item x="17"/>
        <item x="86"/>
        <item x="49"/>
        <item x="38"/>
        <item x="91"/>
        <item x="20"/>
        <item x="70"/>
        <item x="92"/>
        <item x="21"/>
        <item x="33"/>
        <item x="4"/>
        <item x="35"/>
        <item x="133"/>
        <item x="77"/>
        <item x="2"/>
        <item x="144"/>
        <item x="79"/>
        <item x="105"/>
        <item x="87"/>
        <item x="85"/>
        <item x="124"/>
        <item x="101"/>
        <item x="149"/>
        <item x="65"/>
        <item x="73"/>
        <item x="58"/>
        <item x="28"/>
        <item x="94"/>
        <item x="5"/>
        <item x="104"/>
        <item x="115"/>
        <item x="74"/>
        <item x="143"/>
        <item x="120"/>
        <item x="125"/>
        <item x="30"/>
        <item x="131"/>
        <item x="139"/>
        <item x="9"/>
        <item x="71"/>
        <item x="82"/>
        <item x="26"/>
        <item x="13"/>
        <item x="39"/>
        <item x="48"/>
        <item x="29"/>
        <item x="108"/>
        <item x="89"/>
        <item x="6"/>
        <item x="45"/>
        <item x="75"/>
        <item x="117"/>
        <item x="72"/>
        <item x="118"/>
        <item x="121"/>
        <item x="78"/>
        <item x="97"/>
        <item x="119"/>
        <item x="127"/>
        <item x="147"/>
        <item x="93"/>
        <item x="106"/>
        <item x="130"/>
        <item x="3"/>
        <item x="31"/>
        <item x="68"/>
        <item x="44"/>
        <item x="24"/>
        <item x="19"/>
        <item x="140"/>
        <item x="0"/>
        <item x="41"/>
        <item x="84"/>
        <item x="22"/>
        <item x="18"/>
        <item x="56"/>
        <item x="114"/>
        <item x="8"/>
        <item x="100"/>
        <item x="32"/>
        <item x="109"/>
        <item x="142"/>
        <item x="76"/>
        <item x="96"/>
        <item x="81"/>
        <item x="88"/>
        <item x="67"/>
        <item x="113"/>
        <item x="148"/>
        <item x="1"/>
        <item x="111"/>
        <item x="95"/>
        <item x="128"/>
        <item x="141"/>
        <item x="112"/>
        <item x="122"/>
        <item x="34"/>
        <item x="99"/>
        <item x="16"/>
        <item x="15"/>
        <item x="53"/>
        <item x="37"/>
        <item x="103"/>
        <item x="126"/>
        <item x="134"/>
        <item x="145"/>
        <item x="132"/>
        <item x="98"/>
        <item x="80"/>
        <item x="90"/>
        <item x="64"/>
        <item x="52"/>
        <item x="138"/>
        <item x="7"/>
        <item x="27"/>
        <item x="62"/>
        <item x="135"/>
        <item x="12"/>
        <item x="83"/>
        <item x="137"/>
        <item x="55"/>
        <item x="14"/>
        <item x="69"/>
        <item x="146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showAll="0">
      <items count="13">
        <item x="1"/>
        <item x="3"/>
        <item x="9"/>
        <item x="7"/>
        <item x="10"/>
        <item x="8"/>
        <item x="4"/>
        <item x="11"/>
        <item x="0"/>
        <item x="5"/>
        <item x="6"/>
        <item x="2"/>
        <item t="default"/>
      </items>
    </pivotField>
    <pivotField compact="0" showAll="0">
      <items count="145">
        <item x="1"/>
        <item x="110"/>
        <item x="74"/>
        <item x="92"/>
        <item x="108"/>
        <item x="93"/>
        <item x="142"/>
        <item x="65"/>
        <item x="123"/>
        <item x="78"/>
        <item x="85"/>
        <item x="56"/>
        <item x="27"/>
        <item x="91"/>
        <item x="5"/>
        <item x="126"/>
        <item x="29"/>
        <item x="101"/>
        <item x="134"/>
        <item x="112"/>
        <item x="9"/>
        <item x="138"/>
        <item x="72"/>
        <item x="71"/>
        <item x="120"/>
        <item x="38"/>
        <item x="25"/>
        <item x="79"/>
        <item x="69"/>
        <item x="46"/>
        <item x="13"/>
        <item x="124"/>
        <item x="49"/>
        <item x="10"/>
        <item x="39"/>
        <item x="45"/>
        <item x="22"/>
        <item x="59"/>
        <item x="118"/>
        <item x="131"/>
        <item x="57"/>
        <item x="55"/>
        <item x="48"/>
        <item x="104"/>
        <item x="51"/>
        <item x="117"/>
        <item x="109"/>
        <item x="121"/>
        <item x="36"/>
        <item x="16"/>
        <item x="100"/>
        <item x="33"/>
        <item x="129"/>
        <item x="15"/>
        <item x="136"/>
        <item x="96"/>
        <item x="35"/>
        <item x="17"/>
        <item x="11"/>
        <item x="83"/>
        <item x="99"/>
        <item x="47"/>
        <item x="42"/>
        <item x="61"/>
        <item x="41"/>
        <item x="37"/>
        <item x="52"/>
        <item x="24"/>
        <item x="64"/>
        <item x="107"/>
        <item x="58"/>
        <item x="94"/>
        <item x="113"/>
        <item x="73"/>
        <item x="6"/>
        <item x="86"/>
        <item x="115"/>
        <item x="103"/>
        <item x="114"/>
        <item x="105"/>
        <item x="44"/>
        <item x="70"/>
        <item x="28"/>
        <item x="122"/>
        <item x="90"/>
        <item x="116"/>
        <item x="76"/>
        <item x="95"/>
        <item x="127"/>
        <item x="62"/>
        <item x="140"/>
        <item x="87"/>
        <item x="77"/>
        <item x="50"/>
        <item x="133"/>
        <item x="125"/>
        <item x="0"/>
        <item x="135"/>
        <item x="30"/>
        <item x="43"/>
        <item x="23"/>
        <item x="3"/>
        <item x="66"/>
        <item x="67"/>
        <item x="7"/>
        <item x="141"/>
        <item x="12"/>
        <item x="80"/>
        <item x="14"/>
        <item x="132"/>
        <item x="26"/>
        <item x="53"/>
        <item x="130"/>
        <item x="60"/>
        <item x="31"/>
        <item x="21"/>
        <item x="40"/>
        <item x="54"/>
        <item x="81"/>
        <item x="106"/>
        <item x="18"/>
        <item x="97"/>
        <item x="111"/>
        <item x="137"/>
        <item x="8"/>
        <item x="102"/>
        <item x="128"/>
        <item x="19"/>
        <item x="88"/>
        <item x="119"/>
        <item x="68"/>
        <item x="89"/>
        <item x="63"/>
        <item x="98"/>
        <item x="84"/>
        <item x="20"/>
        <item x="2"/>
        <item x="139"/>
        <item x="75"/>
        <item x="34"/>
        <item x="143"/>
        <item x="4"/>
        <item x="82"/>
        <item x="32"/>
        <item t="default"/>
      </items>
    </pivotField>
    <pivotField dataField="1" compact="0" numFmtId="4" showAll="0">
      <items count="151">
        <item x="106"/>
        <item x="130"/>
        <item x="101"/>
        <item x="117"/>
        <item x="125"/>
        <item x="127"/>
        <item x="120"/>
        <item x="104"/>
        <item x="133"/>
        <item x="74"/>
        <item x="85"/>
        <item x="56"/>
        <item x="95"/>
        <item x="75"/>
        <item x="34"/>
        <item x="6"/>
        <item x="114"/>
        <item x="36"/>
        <item x="62"/>
        <item x="45"/>
        <item x="17"/>
        <item x="9"/>
        <item x="147"/>
        <item x="31"/>
        <item x="81"/>
        <item x="41"/>
        <item x="3"/>
        <item x="58"/>
        <item x="4"/>
        <item x="35"/>
        <item x="22"/>
        <item x="113"/>
        <item x="57"/>
        <item x="92"/>
        <item x="100"/>
        <item x="27"/>
        <item x="47"/>
        <item x="126"/>
        <item x="61"/>
        <item x="108"/>
        <item x="123"/>
        <item x="40"/>
        <item x="77"/>
        <item x="94"/>
        <item x="73"/>
        <item x="30"/>
        <item x="78"/>
        <item x="111"/>
        <item x="14"/>
        <item x="49"/>
        <item x="44"/>
        <item x="97"/>
        <item x="52"/>
        <item x="93"/>
        <item x="80"/>
        <item x="15"/>
        <item x="86"/>
        <item x="65"/>
        <item x="138"/>
        <item x="20"/>
        <item x="134"/>
        <item x="143"/>
        <item x="13"/>
        <item x="16"/>
        <item x="84"/>
        <item x="98"/>
        <item x="103"/>
        <item x="70"/>
        <item x="139"/>
        <item x="107"/>
        <item x="149"/>
        <item x="115"/>
        <item x="60"/>
        <item x="24"/>
        <item x="136"/>
        <item x="96"/>
        <item x="19"/>
        <item x="12"/>
        <item x="83"/>
        <item x="0"/>
        <item x="105"/>
        <item x="28"/>
        <item x="135"/>
        <item x="89"/>
        <item x="102"/>
        <item x="129"/>
        <item x="7"/>
        <item x="71"/>
        <item x="146"/>
        <item x="8"/>
        <item x="55"/>
        <item x="50"/>
        <item x="33"/>
        <item x="63"/>
        <item x="51"/>
        <item x="48"/>
        <item x="142"/>
        <item x="87"/>
        <item x="2"/>
        <item x="116"/>
        <item x="88"/>
        <item x="25"/>
        <item x="118"/>
        <item x="76"/>
        <item x="1"/>
        <item x="99"/>
        <item x="69"/>
        <item x="109"/>
        <item x="23"/>
        <item x="82"/>
        <item x="122"/>
        <item x="26"/>
        <item x="137"/>
        <item x="131"/>
        <item x="59"/>
        <item x="32"/>
        <item x="5"/>
        <item x="128"/>
        <item x="21"/>
        <item x="90"/>
        <item x="72"/>
        <item x="110"/>
        <item x="68"/>
        <item x="132"/>
        <item x="91"/>
        <item x="10"/>
        <item x="46"/>
        <item x="38"/>
        <item x="37"/>
        <item x="67"/>
        <item x="66"/>
        <item x="112"/>
        <item x="145"/>
        <item x="29"/>
        <item x="11"/>
        <item x="144"/>
        <item x="64"/>
        <item x="43"/>
        <item x="42"/>
        <item x="141"/>
        <item x="79"/>
        <item x="54"/>
        <item x="18"/>
        <item x="140"/>
        <item x="119"/>
        <item x="121"/>
        <item x="39"/>
        <item x="53"/>
        <item x="124"/>
        <item x="148"/>
        <item t="default"/>
      </items>
    </pivotField>
    <pivotField compact="0" numFmtId="3" showAll="0">
      <items count="11">
        <item x="0"/>
        <item x="4"/>
        <item x="1"/>
        <item x="7"/>
        <item x="3"/>
        <item x="5"/>
        <item x="6"/>
        <item x="8"/>
        <item x="2"/>
        <item x="9"/>
        <item t="default"/>
      </items>
    </pivotField>
    <pivotField compact="0" numFmtId="179" showAll="0">
      <items count="5">
        <item x="0"/>
        <item x="2"/>
        <item x="3"/>
        <item x="1"/>
        <item t="default"/>
      </items>
    </pivotField>
    <pivotField dataField="1" compact="0" numFmtId="4" showAll="0">
      <items count="151">
        <item x="141"/>
        <item x="18"/>
        <item x="91"/>
        <item x="55"/>
        <item x="12"/>
        <item x="51"/>
        <item x="110"/>
        <item x="24"/>
        <item x="134"/>
        <item x="144"/>
        <item x="48"/>
        <item x="94"/>
        <item x="0"/>
        <item x="20"/>
        <item x="116"/>
        <item x="86"/>
        <item x="80"/>
        <item x="113"/>
        <item x="69"/>
        <item x="81"/>
        <item x="148"/>
        <item x="70"/>
        <item x="124"/>
        <item x="30"/>
        <item x="145"/>
        <item x="22"/>
        <item x="32"/>
        <item x="104"/>
        <item x="117"/>
        <item x="111"/>
        <item x="123"/>
        <item x="147"/>
        <item x="52"/>
        <item x="33"/>
        <item x="127"/>
        <item x="120"/>
        <item x="106"/>
        <item x="130"/>
        <item x="83"/>
        <item x="15"/>
        <item x="101"/>
        <item x="5"/>
        <item x="95"/>
        <item x="40"/>
        <item x="82"/>
        <item x="27"/>
        <item x="75"/>
        <item x="38"/>
        <item x="138"/>
        <item x="60"/>
        <item x="125"/>
        <item x="31"/>
        <item x="62"/>
        <item x="49"/>
        <item x="114"/>
        <item x="74"/>
        <item x="87"/>
        <item x="9"/>
        <item x="128"/>
        <item x="133"/>
        <item x="17"/>
        <item x="45"/>
        <item x="103"/>
        <item x="36"/>
        <item x="6"/>
        <item x="100"/>
        <item x="85"/>
        <item x="4"/>
        <item x="56"/>
        <item x="57"/>
        <item x="1"/>
        <item x="126"/>
        <item x="115"/>
        <item x="97"/>
        <item x="118"/>
        <item x="59"/>
        <item x="7"/>
        <item x="34"/>
        <item x="35"/>
        <item x="47"/>
        <item x="146"/>
        <item x="44"/>
        <item x="41"/>
        <item x="122"/>
        <item x="28"/>
        <item x="29"/>
        <item x="139"/>
        <item x="8"/>
        <item x="119"/>
        <item x="108"/>
        <item x="3"/>
        <item x="11"/>
        <item x="143"/>
        <item x="67"/>
        <item x="77"/>
        <item x="129"/>
        <item x="58"/>
        <item x="131"/>
        <item x="135"/>
        <item x="136"/>
        <item x="14"/>
        <item x="61"/>
        <item x="105"/>
        <item x="92"/>
        <item x="89"/>
        <item x="93"/>
        <item x="107"/>
        <item x="13"/>
        <item x="142"/>
        <item x="84"/>
        <item x="88"/>
        <item x="73"/>
        <item x="96"/>
        <item x="71"/>
        <item x="78"/>
        <item x="46"/>
        <item x="90"/>
        <item x="16"/>
        <item x="149"/>
        <item x="79"/>
        <item x="68"/>
        <item x="43"/>
        <item x="65"/>
        <item x="98"/>
        <item x="50"/>
        <item x="21"/>
        <item x="53"/>
        <item x="54"/>
        <item x="23"/>
        <item x="19"/>
        <item x="137"/>
        <item x="121"/>
        <item x="10"/>
        <item x="102"/>
        <item x="140"/>
        <item x="112"/>
        <item x="26"/>
        <item x="42"/>
        <item x="72"/>
        <item x="63"/>
        <item x="2"/>
        <item x="99"/>
        <item x="64"/>
        <item x="76"/>
        <item x="25"/>
        <item x="109"/>
        <item x="37"/>
        <item x="132"/>
        <item x="39"/>
        <item x="66"/>
        <item t="default"/>
      </items>
    </pivotField>
    <pivotField compact="0" numFmtId="10" showAll="0">
      <items count="151">
        <item x="12"/>
        <item x="94"/>
        <item x="141"/>
        <item x="134"/>
        <item x="55"/>
        <item x="24"/>
        <item x="51"/>
        <item x="113"/>
        <item x="81"/>
        <item x="18"/>
        <item x="91"/>
        <item x="20"/>
        <item x="110"/>
        <item x="48"/>
        <item x="0"/>
        <item x="86"/>
        <item x="80"/>
        <item x="144"/>
        <item x="116"/>
        <item x="69"/>
        <item x="70"/>
        <item x="148"/>
        <item x="30"/>
        <item x="124"/>
        <item x="22"/>
        <item x="145"/>
        <item x="32"/>
        <item x="111"/>
        <item x="33"/>
        <item x="123"/>
        <item x="104"/>
        <item x="52"/>
        <item x="83"/>
        <item x="5"/>
        <item x="38"/>
        <item x="82"/>
        <item x="15"/>
        <item x="147"/>
        <item x="117"/>
        <item x="128"/>
        <item x="87"/>
        <item x="60"/>
        <item x="40"/>
        <item x="138"/>
        <item x="1"/>
        <item x="59"/>
        <item x="27"/>
        <item x="49"/>
        <item x="118"/>
        <item x="103"/>
        <item x="29"/>
        <item x="119"/>
        <item x="122"/>
        <item x="7"/>
        <item x="115"/>
        <item x="11"/>
        <item x="67"/>
        <item x="146"/>
        <item x="8"/>
        <item x="97"/>
        <item x="28"/>
        <item x="120"/>
        <item x="127"/>
        <item x="131"/>
        <item x="31"/>
        <item x="126"/>
        <item x="100"/>
        <item x="139"/>
        <item x="95"/>
        <item x="57"/>
        <item x="129"/>
        <item x="44"/>
        <item x="75"/>
        <item x="4"/>
        <item x="135"/>
        <item x="9"/>
        <item x="62"/>
        <item x="136"/>
        <item x="47"/>
        <item x="143"/>
        <item x="105"/>
        <item x="142"/>
        <item x="46"/>
        <item x="89"/>
        <item x="17"/>
        <item x="88"/>
        <item x="79"/>
        <item x="43"/>
        <item x="53"/>
        <item x="90"/>
        <item x="108"/>
        <item x="114"/>
        <item x="45"/>
        <item x="54"/>
        <item x="35"/>
        <item x="68"/>
        <item x="101"/>
        <item x="130"/>
        <item x="107"/>
        <item x="71"/>
        <item x="21"/>
        <item x="121"/>
        <item x="14"/>
        <item x="77"/>
        <item x="36"/>
        <item x="96"/>
        <item x="140"/>
        <item x="13"/>
        <item x="84"/>
        <item x="10"/>
        <item x="50"/>
        <item x="23"/>
        <item x="6"/>
        <item x="41"/>
        <item x="93"/>
        <item x="137"/>
        <item x="112"/>
        <item x="61"/>
        <item x="42"/>
        <item x="74"/>
        <item x="64"/>
        <item x="149"/>
        <item x="72"/>
        <item x="3"/>
        <item x="37"/>
        <item x="133"/>
        <item x="26"/>
        <item x="92"/>
        <item x="125"/>
        <item x="85"/>
        <item x="16"/>
        <item x="98"/>
        <item x="39"/>
        <item x="56"/>
        <item x="73"/>
        <item x="19"/>
        <item x="78"/>
        <item x="34"/>
        <item x="106"/>
        <item x="99"/>
        <item x="102"/>
        <item x="109"/>
        <item x="76"/>
        <item x="2"/>
        <item x="132"/>
        <item x="25"/>
        <item x="63"/>
        <item x="65"/>
        <item x="66"/>
        <item x="5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1"/>
        <item x="4"/>
        <item x="2"/>
        <item x="1"/>
        <item x="5"/>
        <item x="10"/>
        <item x="3"/>
        <item x="6"/>
        <item x="7"/>
        <item x="9"/>
        <item x="0"/>
        <item x="8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Customer_Segmenta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K2:N6" firstHeaderRow="0" firstDataRow="1" firstDataCol="1"/>
  <pivotFields count="24"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numFmtId="17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178" showAll="0">
      <items count="128">
        <item x="119"/>
        <item x="68"/>
        <item x="102"/>
        <item x="103"/>
        <item x="125"/>
        <item x="48"/>
        <item x="19"/>
        <item x="29"/>
        <item x="11"/>
        <item x="116"/>
        <item x="98"/>
        <item x="64"/>
        <item x="58"/>
        <item x="92"/>
        <item x="4"/>
        <item x="66"/>
        <item x="107"/>
        <item x="85"/>
        <item x="76"/>
        <item x="114"/>
        <item x="108"/>
        <item x="53"/>
        <item x="75"/>
        <item x="2"/>
        <item x="109"/>
        <item x="72"/>
        <item x="97"/>
        <item x="17"/>
        <item x="40"/>
        <item x="112"/>
        <item x="25"/>
        <item x="32"/>
        <item x="117"/>
        <item x="20"/>
        <item x="82"/>
        <item x="6"/>
        <item x="21"/>
        <item x="45"/>
        <item x="123"/>
        <item x="1"/>
        <item x="5"/>
        <item x="16"/>
        <item x="80"/>
        <item x="51"/>
        <item x="69"/>
        <item x="35"/>
        <item x="47"/>
        <item x="59"/>
        <item x="93"/>
        <item x="126"/>
        <item x="52"/>
        <item x="63"/>
        <item x="86"/>
        <item x="71"/>
        <item x="121"/>
        <item x="57"/>
        <item x="78"/>
        <item x="74"/>
        <item x="56"/>
        <item x="42"/>
        <item x="96"/>
        <item x="90"/>
        <item x="101"/>
        <item x="24"/>
        <item x="3"/>
        <item x="39"/>
        <item x="115"/>
        <item x="89"/>
        <item x="88"/>
        <item x="100"/>
        <item x="105"/>
        <item x="7"/>
        <item x="31"/>
        <item x="34"/>
        <item x="9"/>
        <item x="46"/>
        <item x="65"/>
        <item x="26"/>
        <item x="99"/>
        <item x="49"/>
        <item x="37"/>
        <item x="62"/>
        <item x="54"/>
        <item x="67"/>
        <item x="28"/>
        <item x="27"/>
        <item x="44"/>
        <item x="104"/>
        <item x="10"/>
        <item x="18"/>
        <item x="43"/>
        <item x="110"/>
        <item x="22"/>
        <item x="70"/>
        <item x="106"/>
        <item x="81"/>
        <item x="113"/>
        <item x="14"/>
        <item x="36"/>
        <item x="120"/>
        <item x="38"/>
        <item x="8"/>
        <item x="118"/>
        <item x="50"/>
        <item x="41"/>
        <item x="13"/>
        <item x="84"/>
        <item x="91"/>
        <item x="23"/>
        <item x="0"/>
        <item x="15"/>
        <item x="95"/>
        <item x="60"/>
        <item x="33"/>
        <item x="61"/>
        <item x="83"/>
        <item x="94"/>
        <item x="77"/>
        <item x="122"/>
        <item x="30"/>
        <item x="87"/>
        <item x="12"/>
        <item x="55"/>
        <item x="124"/>
        <item x="111"/>
        <item x="73"/>
        <item x="79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dataField="1" compact="0" showAll="0">
      <items count="151">
        <item x="147"/>
        <item x="38"/>
        <item x="28"/>
        <item x="112"/>
        <item x="47"/>
        <item x="122"/>
        <item x="67"/>
        <item x="33"/>
        <item x="18"/>
        <item x="81"/>
        <item x="114"/>
        <item x="84"/>
        <item x="86"/>
        <item x="127"/>
        <item x="13"/>
        <item x="56"/>
        <item x="72"/>
        <item x="113"/>
        <item x="40"/>
        <item x="103"/>
        <item x="79"/>
        <item x="51"/>
        <item x="2"/>
        <item x="94"/>
        <item x="24"/>
        <item x="19"/>
        <item x="119"/>
        <item x="52"/>
        <item x="128"/>
        <item x="11"/>
        <item x="75"/>
        <item x="21"/>
        <item x="22"/>
        <item x="146"/>
        <item x="65"/>
        <item x="108"/>
        <item x="60"/>
        <item x="43"/>
        <item x="57"/>
        <item x="32"/>
        <item x="130"/>
        <item x="125"/>
        <item x="83"/>
        <item x="59"/>
        <item x="26"/>
        <item x="91"/>
        <item x="115"/>
        <item x="144"/>
        <item x="25"/>
        <item x="6"/>
        <item x="90"/>
        <item x="107"/>
        <item x="66"/>
        <item x="99"/>
        <item x="55"/>
        <item x="135"/>
        <item x="48"/>
        <item x="14"/>
        <item x="110"/>
        <item x="23"/>
        <item x="50"/>
        <item x="41"/>
        <item x="95"/>
        <item x="136"/>
        <item x="20"/>
        <item x="0"/>
        <item x="36"/>
        <item x="62"/>
        <item x="149"/>
        <item x="44"/>
        <item x="49"/>
        <item x="109"/>
        <item x="143"/>
        <item x="118"/>
        <item x="133"/>
        <item x="70"/>
        <item x="134"/>
        <item x="37"/>
        <item x="105"/>
        <item x="39"/>
        <item x="104"/>
        <item x="129"/>
        <item x="121"/>
        <item x="7"/>
        <item x="116"/>
        <item x="5"/>
        <item x="64"/>
        <item x="17"/>
        <item x="139"/>
        <item x="145"/>
        <item x="77"/>
        <item x="98"/>
        <item x="96"/>
        <item x="53"/>
        <item x="15"/>
        <item x="97"/>
        <item x="142"/>
        <item x="120"/>
        <item x="34"/>
        <item x="87"/>
        <item x="46"/>
        <item x="132"/>
        <item x="54"/>
        <item x="4"/>
        <item x="85"/>
        <item x="27"/>
        <item x="63"/>
        <item x="102"/>
        <item x="68"/>
        <item x="88"/>
        <item x="76"/>
        <item x="10"/>
        <item x="80"/>
        <item x="45"/>
        <item x="131"/>
        <item x="124"/>
        <item x="138"/>
        <item x="9"/>
        <item x="126"/>
        <item x="111"/>
        <item x="61"/>
        <item x="12"/>
        <item x="141"/>
        <item x="92"/>
        <item x="148"/>
        <item x="35"/>
        <item x="137"/>
        <item x="16"/>
        <item x="8"/>
        <item x="1"/>
        <item x="100"/>
        <item x="82"/>
        <item x="73"/>
        <item x="29"/>
        <item x="101"/>
        <item x="58"/>
        <item x="74"/>
        <item x="78"/>
        <item x="31"/>
        <item x="69"/>
        <item x="71"/>
        <item x="42"/>
        <item x="3"/>
        <item x="117"/>
        <item x="30"/>
        <item x="89"/>
        <item x="106"/>
        <item x="140"/>
        <item x="93"/>
        <item x="123"/>
        <item t="default"/>
      </items>
    </pivotField>
    <pivotField compact="0" showAll="0">
      <items count="47">
        <item x="8"/>
        <item x="27"/>
        <item x="39"/>
        <item x="30"/>
        <item x="1"/>
        <item x="35"/>
        <item x="7"/>
        <item x="0"/>
        <item x="17"/>
        <item x="5"/>
        <item x="34"/>
        <item x="10"/>
        <item x="28"/>
        <item x="40"/>
        <item x="31"/>
        <item x="21"/>
        <item x="41"/>
        <item x="20"/>
        <item x="44"/>
        <item x="12"/>
        <item x="13"/>
        <item x="14"/>
        <item x="29"/>
        <item x="37"/>
        <item x="42"/>
        <item x="26"/>
        <item x="45"/>
        <item x="19"/>
        <item x="36"/>
        <item x="18"/>
        <item x="3"/>
        <item x="4"/>
        <item x="6"/>
        <item x="11"/>
        <item x="23"/>
        <item x="38"/>
        <item x="43"/>
        <item x="15"/>
        <item x="24"/>
        <item x="9"/>
        <item x="22"/>
        <item x="32"/>
        <item x="2"/>
        <item x="16"/>
        <item x="25"/>
        <item x="33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h="1" x="3"/>
        <item x="2"/>
        <item x="1"/>
        <item x="0"/>
        <item t="default"/>
      </items>
    </pivotField>
    <pivotField compact="0" showAll="0">
      <items count="151">
        <item x="23"/>
        <item x="40"/>
        <item x="10"/>
        <item x="46"/>
        <item x="123"/>
        <item x="61"/>
        <item x="129"/>
        <item x="51"/>
        <item x="116"/>
        <item x="47"/>
        <item x="136"/>
        <item x="59"/>
        <item x="57"/>
        <item x="107"/>
        <item x="50"/>
        <item x="54"/>
        <item x="36"/>
        <item x="110"/>
        <item x="42"/>
        <item x="102"/>
        <item x="63"/>
        <item x="43"/>
        <item x="60"/>
        <item x="25"/>
        <item x="11"/>
        <item x="66"/>
        <item x="17"/>
        <item x="86"/>
        <item x="49"/>
        <item x="38"/>
        <item x="91"/>
        <item x="20"/>
        <item x="70"/>
        <item x="92"/>
        <item x="21"/>
        <item x="33"/>
        <item x="4"/>
        <item x="35"/>
        <item x="133"/>
        <item x="77"/>
        <item x="2"/>
        <item x="144"/>
        <item x="79"/>
        <item x="105"/>
        <item x="87"/>
        <item x="85"/>
        <item x="124"/>
        <item x="101"/>
        <item x="149"/>
        <item x="65"/>
        <item x="73"/>
        <item x="58"/>
        <item x="28"/>
        <item x="94"/>
        <item x="5"/>
        <item x="104"/>
        <item x="115"/>
        <item x="74"/>
        <item x="143"/>
        <item x="120"/>
        <item x="125"/>
        <item x="30"/>
        <item x="131"/>
        <item x="139"/>
        <item x="9"/>
        <item x="71"/>
        <item x="82"/>
        <item x="26"/>
        <item x="13"/>
        <item x="39"/>
        <item x="48"/>
        <item x="29"/>
        <item x="108"/>
        <item x="89"/>
        <item x="6"/>
        <item x="45"/>
        <item x="75"/>
        <item x="117"/>
        <item x="72"/>
        <item x="118"/>
        <item x="121"/>
        <item x="78"/>
        <item x="97"/>
        <item x="119"/>
        <item x="127"/>
        <item x="147"/>
        <item x="93"/>
        <item x="106"/>
        <item x="130"/>
        <item x="3"/>
        <item x="31"/>
        <item x="68"/>
        <item x="44"/>
        <item x="24"/>
        <item x="19"/>
        <item x="140"/>
        <item x="0"/>
        <item x="41"/>
        <item x="84"/>
        <item x="22"/>
        <item x="18"/>
        <item x="56"/>
        <item x="114"/>
        <item x="8"/>
        <item x="100"/>
        <item x="32"/>
        <item x="109"/>
        <item x="142"/>
        <item x="76"/>
        <item x="96"/>
        <item x="81"/>
        <item x="88"/>
        <item x="67"/>
        <item x="113"/>
        <item x="148"/>
        <item x="1"/>
        <item x="111"/>
        <item x="95"/>
        <item x="128"/>
        <item x="141"/>
        <item x="112"/>
        <item x="122"/>
        <item x="34"/>
        <item x="99"/>
        <item x="16"/>
        <item x="15"/>
        <item x="53"/>
        <item x="37"/>
        <item x="103"/>
        <item x="126"/>
        <item x="134"/>
        <item x="145"/>
        <item x="132"/>
        <item x="98"/>
        <item x="80"/>
        <item x="90"/>
        <item x="64"/>
        <item x="52"/>
        <item x="138"/>
        <item x="7"/>
        <item x="27"/>
        <item x="62"/>
        <item x="135"/>
        <item x="12"/>
        <item x="83"/>
        <item x="137"/>
        <item x="55"/>
        <item x="14"/>
        <item x="69"/>
        <item x="146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3">
        <item x="1"/>
        <item x="3"/>
        <item x="9"/>
        <item x="7"/>
        <item x="10"/>
        <item x="8"/>
        <item x="4"/>
        <item x="11"/>
        <item x="0"/>
        <item x="5"/>
        <item x="6"/>
        <item x="2"/>
        <item t="default"/>
      </items>
    </pivotField>
    <pivotField compact="0" showAll="0">
      <items count="145">
        <item x="1"/>
        <item x="110"/>
        <item x="74"/>
        <item x="92"/>
        <item x="108"/>
        <item x="93"/>
        <item x="142"/>
        <item x="65"/>
        <item x="123"/>
        <item x="78"/>
        <item x="85"/>
        <item x="56"/>
        <item x="27"/>
        <item x="91"/>
        <item x="5"/>
        <item x="126"/>
        <item x="29"/>
        <item x="101"/>
        <item x="134"/>
        <item x="112"/>
        <item x="9"/>
        <item x="138"/>
        <item x="72"/>
        <item x="71"/>
        <item x="120"/>
        <item x="38"/>
        <item x="25"/>
        <item x="79"/>
        <item x="69"/>
        <item x="46"/>
        <item x="13"/>
        <item x="124"/>
        <item x="49"/>
        <item x="10"/>
        <item x="39"/>
        <item x="45"/>
        <item x="22"/>
        <item x="59"/>
        <item x="118"/>
        <item x="131"/>
        <item x="57"/>
        <item x="55"/>
        <item x="48"/>
        <item x="104"/>
        <item x="51"/>
        <item x="117"/>
        <item x="109"/>
        <item x="121"/>
        <item x="36"/>
        <item x="16"/>
        <item x="100"/>
        <item x="33"/>
        <item x="129"/>
        <item x="15"/>
        <item x="136"/>
        <item x="96"/>
        <item x="35"/>
        <item x="17"/>
        <item x="11"/>
        <item x="83"/>
        <item x="99"/>
        <item x="47"/>
        <item x="42"/>
        <item x="61"/>
        <item x="41"/>
        <item x="37"/>
        <item x="52"/>
        <item x="24"/>
        <item x="64"/>
        <item x="107"/>
        <item x="58"/>
        <item x="94"/>
        <item x="113"/>
        <item x="73"/>
        <item x="6"/>
        <item x="86"/>
        <item x="115"/>
        <item x="103"/>
        <item x="114"/>
        <item x="105"/>
        <item x="44"/>
        <item x="70"/>
        <item x="28"/>
        <item x="122"/>
        <item x="90"/>
        <item x="116"/>
        <item x="76"/>
        <item x="95"/>
        <item x="127"/>
        <item x="62"/>
        <item x="140"/>
        <item x="87"/>
        <item x="77"/>
        <item x="50"/>
        <item x="133"/>
        <item x="125"/>
        <item x="0"/>
        <item x="135"/>
        <item x="30"/>
        <item x="43"/>
        <item x="23"/>
        <item x="3"/>
        <item x="66"/>
        <item x="67"/>
        <item x="7"/>
        <item x="141"/>
        <item x="12"/>
        <item x="80"/>
        <item x="14"/>
        <item x="132"/>
        <item x="26"/>
        <item x="53"/>
        <item x="130"/>
        <item x="60"/>
        <item x="31"/>
        <item x="21"/>
        <item x="40"/>
        <item x="54"/>
        <item x="81"/>
        <item x="106"/>
        <item x="18"/>
        <item x="97"/>
        <item x="111"/>
        <item x="137"/>
        <item x="8"/>
        <item x="102"/>
        <item x="128"/>
        <item x="19"/>
        <item x="88"/>
        <item x="119"/>
        <item x="68"/>
        <item x="89"/>
        <item x="63"/>
        <item x="98"/>
        <item x="84"/>
        <item x="20"/>
        <item x="2"/>
        <item x="139"/>
        <item x="75"/>
        <item x="34"/>
        <item x="143"/>
        <item x="4"/>
        <item x="82"/>
        <item x="32"/>
        <item t="default"/>
      </items>
    </pivotField>
    <pivotField dataField="1" compact="0" numFmtId="4" showAll="0">
      <items count="151">
        <item x="106"/>
        <item x="130"/>
        <item x="101"/>
        <item x="117"/>
        <item x="125"/>
        <item x="127"/>
        <item x="120"/>
        <item x="104"/>
        <item x="133"/>
        <item x="74"/>
        <item x="85"/>
        <item x="56"/>
        <item x="95"/>
        <item x="75"/>
        <item x="34"/>
        <item x="6"/>
        <item x="114"/>
        <item x="36"/>
        <item x="62"/>
        <item x="45"/>
        <item x="17"/>
        <item x="9"/>
        <item x="147"/>
        <item x="31"/>
        <item x="81"/>
        <item x="41"/>
        <item x="3"/>
        <item x="58"/>
        <item x="4"/>
        <item x="35"/>
        <item x="22"/>
        <item x="113"/>
        <item x="57"/>
        <item x="92"/>
        <item x="100"/>
        <item x="27"/>
        <item x="47"/>
        <item x="126"/>
        <item x="61"/>
        <item x="108"/>
        <item x="123"/>
        <item x="40"/>
        <item x="77"/>
        <item x="94"/>
        <item x="73"/>
        <item x="30"/>
        <item x="78"/>
        <item x="111"/>
        <item x="14"/>
        <item x="49"/>
        <item x="44"/>
        <item x="97"/>
        <item x="52"/>
        <item x="93"/>
        <item x="80"/>
        <item x="15"/>
        <item x="86"/>
        <item x="65"/>
        <item x="138"/>
        <item x="20"/>
        <item x="134"/>
        <item x="143"/>
        <item x="13"/>
        <item x="16"/>
        <item x="84"/>
        <item x="98"/>
        <item x="103"/>
        <item x="70"/>
        <item x="139"/>
        <item x="107"/>
        <item x="149"/>
        <item x="115"/>
        <item x="60"/>
        <item x="24"/>
        <item x="136"/>
        <item x="96"/>
        <item x="19"/>
        <item x="12"/>
        <item x="83"/>
        <item x="0"/>
        <item x="105"/>
        <item x="28"/>
        <item x="135"/>
        <item x="89"/>
        <item x="102"/>
        <item x="129"/>
        <item x="7"/>
        <item x="71"/>
        <item x="146"/>
        <item x="8"/>
        <item x="55"/>
        <item x="50"/>
        <item x="33"/>
        <item x="63"/>
        <item x="51"/>
        <item x="48"/>
        <item x="142"/>
        <item x="87"/>
        <item x="2"/>
        <item x="116"/>
        <item x="88"/>
        <item x="25"/>
        <item x="118"/>
        <item x="76"/>
        <item x="1"/>
        <item x="99"/>
        <item x="69"/>
        <item x="109"/>
        <item x="23"/>
        <item x="82"/>
        <item x="122"/>
        <item x="26"/>
        <item x="137"/>
        <item x="131"/>
        <item x="59"/>
        <item x="32"/>
        <item x="5"/>
        <item x="128"/>
        <item x="21"/>
        <item x="90"/>
        <item x="72"/>
        <item x="110"/>
        <item x="68"/>
        <item x="132"/>
        <item x="91"/>
        <item x="10"/>
        <item x="46"/>
        <item x="38"/>
        <item x="37"/>
        <item x="67"/>
        <item x="66"/>
        <item x="112"/>
        <item x="145"/>
        <item x="29"/>
        <item x="11"/>
        <item x="144"/>
        <item x="64"/>
        <item x="43"/>
        <item x="42"/>
        <item x="141"/>
        <item x="79"/>
        <item x="54"/>
        <item x="18"/>
        <item x="140"/>
        <item x="119"/>
        <item x="121"/>
        <item x="39"/>
        <item x="53"/>
        <item x="124"/>
        <item x="148"/>
        <item t="default"/>
      </items>
    </pivotField>
    <pivotField compact="0" numFmtId="3" showAll="0">
      <items count="11">
        <item x="0"/>
        <item x="4"/>
        <item x="1"/>
        <item x="7"/>
        <item x="3"/>
        <item x="5"/>
        <item x="6"/>
        <item x="8"/>
        <item x="2"/>
        <item x="9"/>
        <item t="default"/>
      </items>
    </pivotField>
    <pivotField compact="0" numFmtId="179" showAll="0">
      <items count="5">
        <item x="0"/>
        <item x="2"/>
        <item x="3"/>
        <item x="1"/>
        <item t="default"/>
      </items>
    </pivotField>
    <pivotField dataField="1" compact="0" numFmtId="4" showAll="0">
      <items count="151">
        <item x="141"/>
        <item x="18"/>
        <item x="91"/>
        <item x="55"/>
        <item x="12"/>
        <item x="51"/>
        <item x="110"/>
        <item x="24"/>
        <item x="134"/>
        <item x="144"/>
        <item x="48"/>
        <item x="94"/>
        <item x="0"/>
        <item x="20"/>
        <item x="116"/>
        <item x="86"/>
        <item x="80"/>
        <item x="113"/>
        <item x="69"/>
        <item x="81"/>
        <item x="148"/>
        <item x="70"/>
        <item x="124"/>
        <item x="30"/>
        <item x="145"/>
        <item x="22"/>
        <item x="32"/>
        <item x="104"/>
        <item x="117"/>
        <item x="111"/>
        <item x="123"/>
        <item x="147"/>
        <item x="52"/>
        <item x="33"/>
        <item x="127"/>
        <item x="120"/>
        <item x="106"/>
        <item x="130"/>
        <item x="83"/>
        <item x="15"/>
        <item x="101"/>
        <item x="5"/>
        <item x="95"/>
        <item x="40"/>
        <item x="82"/>
        <item x="27"/>
        <item x="75"/>
        <item x="38"/>
        <item x="138"/>
        <item x="60"/>
        <item x="125"/>
        <item x="31"/>
        <item x="62"/>
        <item x="49"/>
        <item x="114"/>
        <item x="74"/>
        <item x="87"/>
        <item x="9"/>
        <item x="128"/>
        <item x="133"/>
        <item x="17"/>
        <item x="45"/>
        <item x="103"/>
        <item x="36"/>
        <item x="6"/>
        <item x="100"/>
        <item x="85"/>
        <item x="4"/>
        <item x="56"/>
        <item x="57"/>
        <item x="1"/>
        <item x="126"/>
        <item x="115"/>
        <item x="97"/>
        <item x="118"/>
        <item x="59"/>
        <item x="7"/>
        <item x="34"/>
        <item x="35"/>
        <item x="47"/>
        <item x="146"/>
        <item x="44"/>
        <item x="41"/>
        <item x="122"/>
        <item x="28"/>
        <item x="29"/>
        <item x="139"/>
        <item x="8"/>
        <item x="119"/>
        <item x="108"/>
        <item x="3"/>
        <item x="11"/>
        <item x="143"/>
        <item x="67"/>
        <item x="77"/>
        <item x="129"/>
        <item x="58"/>
        <item x="131"/>
        <item x="135"/>
        <item x="136"/>
        <item x="14"/>
        <item x="61"/>
        <item x="105"/>
        <item x="92"/>
        <item x="89"/>
        <item x="93"/>
        <item x="107"/>
        <item x="13"/>
        <item x="142"/>
        <item x="84"/>
        <item x="88"/>
        <item x="73"/>
        <item x="96"/>
        <item x="71"/>
        <item x="78"/>
        <item x="46"/>
        <item x="90"/>
        <item x="16"/>
        <item x="149"/>
        <item x="79"/>
        <item x="68"/>
        <item x="43"/>
        <item x="65"/>
        <item x="98"/>
        <item x="50"/>
        <item x="21"/>
        <item x="53"/>
        <item x="54"/>
        <item x="23"/>
        <item x="19"/>
        <item x="137"/>
        <item x="121"/>
        <item x="10"/>
        <item x="102"/>
        <item x="140"/>
        <item x="112"/>
        <item x="26"/>
        <item x="42"/>
        <item x="72"/>
        <item x="63"/>
        <item x="2"/>
        <item x="99"/>
        <item x="64"/>
        <item x="76"/>
        <item x="25"/>
        <item x="109"/>
        <item x="37"/>
        <item x="132"/>
        <item x="39"/>
        <item x="66"/>
        <item t="default"/>
      </items>
    </pivotField>
    <pivotField compact="0" numFmtId="10" showAll="0">
      <items count="151">
        <item x="12"/>
        <item x="94"/>
        <item x="141"/>
        <item x="134"/>
        <item x="55"/>
        <item x="24"/>
        <item x="51"/>
        <item x="113"/>
        <item x="81"/>
        <item x="18"/>
        <item x="91"/>
        <item x="20"/>
        <item x="110"/>
        <item x="48"/>
        <item x="0"/>
        <item x="86"/>
        <item x="80"/>
        <item x="144"/>
        <item x="116"/>
        <item x="69"/>
        <item x="70"/>
        <item x="148"/>
        <item x="30"/>
        <item x="124"/>
        <item x="22"/>
        <item x="145"/>
        <item x="32"/>
        <item x="111"/>
        <item x="33"/>
        <item x="123"/>
        <item x="104"/>
        <item x="52"/>
        <item x="83"/>
        <item x="5"/>
        <item x="38"/>
        <item x="82"/>
        <item x="15"/>
        <item x="147"/>
        <item x="117"/>
        <item x="128"/>
        <item x="87"/>
        <item x="60"/>
        <item x="40"/>
        <item x="138"/>
        <item x="1"/>
        <item x="59"/>
        <item x="27"/>
        <item x="49"/>
        <item x="118"/>
        <item x="103"/>
        <item x="29"/>
        <item x="119"/>
        <item x="122"/>
        <item x="7"/>
        <item x="115"/>
        <item x="11"/>
        <item x="67"/>
        <item x="146"/>
        <item x="8"/>
        <item x="97"/>
        <item x="28"/>
        <item x="120"/>
        <item x="127"/>
        <item x="131"/>
        <item x="31"/>
        <item x="126"/>
        <item x="100"/>
        <item x="139"/>
        <item x="95"/>
        <item x="57"/>
        <item x="129"/>
        <item x="44"/>
        <item x="75"/>
        <item x="4"/>
        <item x="135"/>
        <item x="9"/>
        <item x="62"/>
        <item x="136"/>
        <item x="47"/>
        <item x="143"/>
        <item x="105"/>
        <item x="142"/>
        <item x="46"/>
        <item x="89"/>
        <item x="17"/>
        <item x="88"/>
        <item x="79"/>
        <item x="43"/>
        <item x="53"/>
        <item x="90"/>
        <item x="108"/>
        <item x="114"/>
        <item x="45"/>
        <item x="54"/>
        <item x="35"/>
        <item x="68"/>
        <item x="101"/>
        <item x="130"/>
        <item x="107"/>
        <item x="71"/>
        <item x="21"/>
        <item x="121"/>
        <item x="14"/>
        <item x="77"/>
        <item x="36"/>
        <item x="96"/>
        <item x="140"/>
        <item x="13"/>
        <item x="84"/>
        <item x="10"/>
        <item x="50"/>
        <item x="23"/>
        <item x="6"/>
        <item x="41"/>
        <item x="93"/>
        <item x="137"/>
        <item x="112"/>
        <item x="61"/>
        <item x="42"/>
        <item x="74"/>
        <item x="64"/>
        <item x="149"/>
        <item x="72"/>
        <item x="3"/>
        <item x="37"/>
        <item x="133"/>
        <item x="26"/>
        <item x="92"/>
        <item x="125"/>
        <item x="85"/>
        <item x="16"/>
        <item x="98"/>
        <item x="39"/>
        <item x="56"/>
        <item x="73"/>
        <item x="19"/>
        <item x="78"/>
        <item x="34"/>
        <item x="106"/>
        <item x="99"/>
        <item x="102"/>
        <item x="109"/>
        <item x="76"/>
        <item x="2"/>
        <item x="132"/>
        <item x="25"/>
        <item x="63"/>
        <item x="65"/>
        <item x="66"/>
        <item x="5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1"/>
        <item x="4"/>
        <item x="2"/>
        <item x="1"/>
        <item x="5"/>
        <item x="10"/>
        <item x="3"/>
        <item x="6"/>
        <item x="7"/>
        <item x="9"/>
        <item x="0"/>
        <item x="8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0" baseItem="0"/>
    <dataField name="Sum of Profit" fld="19" baseField="0" baseItem="0"/>
    <dataField name="Count of Customer ID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Monthly_Sales_Tren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4:B37" firstHeaderRow="1" firstDataRow="1" firstDataCol="1"/>
  <pivotFields count="24">
    <pivotField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Row" compact="0" numFmtId="17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78" showAll="0">
      <items count="128">
        <item x="119"/>
        <item x="68"/>
        <item x="102"/>
        <item x="103"/>
        <item x="125"/>
        <item x="48"/>
        <item x="19"/>
        <item x="29"/>
        <item x="11"/>
        <item x="116"/>
        <item x="98"/>
        <item x="64"/>
        <item x="58"/>
        <item x="92"/>
        <item x="4"/>
        <item x="66"/>
        <item x="107"/>
        <item x="85"/>
        <item x="76"/>
        <item x="114"/>
        <item x="108"/>
        <item x="53"/>
        <item x="75"/>
        <item x="2"/>
        <item x="109"/>
        <item x="72"/>
        <item x="97"/>
        <item x="17"/>
        <item x="40"/>
        <item x="112"/>
        <item x="25"/>
        <item x="32"/>
        <item x="117"/>
        <item x="20"/>
        <item x="82"/>
        <item x="6"/>
        <item x="21"/>
        <item x="45"/>
        <item x="123"/>
        <item x="1"/>
        <item x="5"/>
        <item x="16"/>
        <item x="80"/>
        <item x="51"/>
        <item x="69"/>
        <item x="35"/>
        <item x="47"/>
        <item x="59"/>
        <item x="93"/>
        <item x="126"/>
        <item x="52"/>
        <item x="63"/>
        <item x="86"/>
        <item x="71"/>
        <item x="121"/>
        <item x="57"/>
        <item x="78"/>
        <item x="74"/>
        <item x="56"/>
        <item x="42"/>
        <item x="96"/>
        <item x="90"/>
        <item x="101"/>
        <item x="24"/>
        <item x="3"/>
        <item x="39"/>
        <item x="115"/>
        <item x="89"/>
        <item x="88"/>
        <item x="100"/>
        <item x="105"/>
        <item x="7"/>
        <item x="31"/>
        <item x="34"/>
        <item x="9"/>
        <item x="46"/>
        <item x="65"/>
        <item x="26"/>
        <item x="99"/>
        <item x="49"/>
        <item x="37"/>
        <item x="62"/>
        <item x="54"/>
        <item x="67"/>
        <item x="28"/>
        <item x="27"/>
        <item x="44"/>
        <item x="104"/>
        <item x="10"/>
        <item x="18"/>
        <item x="43"/>
        <item x="110"/>
        <item x="22"/>
        <item x="70"/>
        <item x="106"/>
        <item x="81"/>
        <item x="113"/>
        <item x="14"/>
        <item x="36"/>
        <item x="120"/>
        <item x="38"/>
        <item x="8"/>
        <item x="118"/>
        <item x="50"/>
        <item x="41"/>
        <item x="13"/>
        <item x="84"/>
        <item x="91"/>
        <item x="23"/>
        <item x="0"/>
        <item x="15"/>
        <item x="95"/>
        <item x="60"/>
        <item x="33"/>
        <item x="61"/>
        <item x="83"/>
        <item x="94"/>
        <item x="77"/>
        <item x="122"/>
        <item x="30"/>
        <item x="87"/>
        <item x="12"/>
        <item x="55"/>
        <item x="124"/>
        <item x="111"/>
        <item x="73"/>
        <item x="79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51">
        <item x="147"/>
        <item x="38"/>
        <item x="28"/>
        <item x="112"/>
        <item x="47"/>
        <item x="122"/>
        <item x="67"/>
        <item x="33"/>
        <item x="18"/>
        <item x="81"/>
        <item x="114"/>
        <item x="84"/>
        <item x="86"/>
        <item x="127"/>
        <item x="13"/>
        <item x="56"/>
        <item x="72"/>
        <item x="113"/>
        <item x="40"/>
        <item x="103"/>
        <item x="79"/>
        <item x="51"/>
        <item x="2"/>
        <item x="94"/>
        <item x="24"/>
        <item x="19"/>
        <item x="119"/>
        <item x="52"/>
        <item x="128"/>
        <item x="11"/>
        <item x="75"/>
        <item x="21"/>
        <item x="22"/>
        <item x="146"/>
        <item x="65"/>
        <item x="108"/>
        <item x="60"/>
        <item x="43"/>
        <item x="57"/>
        <item x="32"/>
        <item x="130"/>
        <item x="125"/>
        <item x="83"/>
        <item x="59"/>
        <item x="26"/>
        <item x="91"/>
        <item x="115"/>
        <item x="144"/>
        <item x="25"/>
        <item x="6"/>
        <item x="90"/>
        <item x="107"/>
        <item x="66"/>
        <item x="99"/>
        <item x="55"/>
        <item x="135"/>
        <item x="48"/>
        <item x="14"/>
        <item x="110"/>
        <item x="23"/>
        <item x="50"/>
        <item x="41"/>
        <item x="95"/>
        <item x="136"/>
        <item x="20"/>
        <item x="0"/>
        <item x="36"/>
        <item x="62"/>
        <item x="149"/>
        <item x="44"/>
        <item x="49"/>
        <item x="109"/>
        <item x="143"/>
        <item x="118"/>
        <item x="133"/>
        <item x="70"/>
        <item x="134"/>
        <item x="37"/>
        <item x="105"/>
        <item x="39"/>
        <item x="104"/>
        <item x="129"/>
        <item x="121"/>
        <item x="7"/>
        <item x="116"/>
        <item x="5"/>
        <item x="64"/>
        <item x="17"/>
        <item x="139"/>
        <item x="145"/>
        <item x="77"/>
        <item x="98"/>
        <item x="96"/>
        <item x="53"/>
        <item x="15"/>
        <item x="97"/>
        <item x="142"/>
        <item x="120"/>
        <item x="34"/>
        <item x="87"/>
        <item x="46"/>
        <item x="132"/>
        <item x="54"/>
        <item x="4"/>
        <item x="85"/>
        <item x="27"/>
        <item x="63"/>
        <item x="102"/>
        <item x="68"/>
        <item x="88"/>
        <item x="76"/>
        <item x="10"/>
        <item x="80"/>
        <item x="45"/>
        <item x="131"/>
        <item x="124"/>
        <item x="138"/>
        <item x="9"/>
        <item x="126"/>
        <item x="111"/>
        <item x="61"/>
        <item x="12"/>
        <item x="141"/>
        <item x="92"/>
        <item x="148"/>
        <item x="35"/>
        <item x="137"/>
        <item x="16"/>
        <item x="8"/>
        <item x="1"/>
        <item x="100"/>
        <item x="82"/>
        <item x="73"/>
        <item x="29"/>
        <item x="101"/>
        <item x="58"/>
        <item x="74"/>
        <item x="78"/>
        <item x="31"/>
        <item x="69"/>
        <item x="71"/>
        <item x="42"/>
        <item x="3"/>
        <item x="117"/>
        <item x="30"/>
        <item x="89"/>
        <item x="106"/>
        <item x="140"/>
        <item x="93"/>
        <item x="123"/>
        <item t="default"/>
      </items>
    </pivotField>
    <pivotField compact="0" showAll="0">
      <items count="47">
        <item x="8"/>
        <item x="27"/>
        <item x="39"/>
        <item x="30"/>
        <item x="1"/>
        <item x="35"/>
        <item x="7"/>
        <item x="0"/>
        <item x="17"/>
        <item x="5"/>
        <item x="34"/>
        <item x="10"/>
        <item x="28"/>
        <item x="40"/>
        <item x="31"/>
        <item x="21"/>
        <item x="41"/>
        <item x="20"/>
        <item x="44"/>
        <item x="12"/>
        <item x="13"/>
        <item x="14"/>
        <item x="29"/>
        <item x="37"/>
        <item x="42"/>
        <item x="26"/>
        <item x="45"/>
        <item x="19"/>
        <item x="36"/>
        <item x="18"/>
        <item x="3"/>
        <item x="4"/>
        <item x="6"/>
        <item x="11"/>
        <item x="23"/>
        <item x="38"/>
        <item x="43"/>
        <item x="15"/>
        <item x="24"/>
        <item x="9"/>
        <item x="22"/>
        <item x="32"/>
        <item x="2"/>
        <item x="16"/>
        <item x="25"/>
        <item x="3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h="1" x="3"/>
        <item x="2"/>
        <item x="1"/>
        <item x="0"/>
        <item t="default"/>
      </items>
    </pivotField>
    <pivotField compact="0" showAll="0">
      <items count="151">
        <item x="23"/>
        <item x="40"/>
        <item x="10"/>
        <item x="46"/>
        <item x="123"/>
        <item x="61"/>
        <item x="129"/>
        <item x="51"/>
        <item x="116"/>
        <item x="47"/>
        <item x="136"/>
        <item x="59"/>
        <item x="57"/>
        <item x="107"/>
        <item x="50"/>
        <item x="54"/>
        <item x="36"/>
        <item x="110"/>
        <item x="42"/>
        <item x="102"/>
        <item x="63"/>
        <item x="43"/>
        <item x="60"/>
        <item x="25"/>
        <item x="11"/>
        <item x="66"/>
        <item x="17"/>
        <item x="86"/>
        <item x="49"/>
        <item x="38"/>
        <item x="91"/>
        <item x="20"/>
        <item x="70"/>
        <item x="92"/>
        <item x="21"/>
        <item x="33"/>
        <item x="4"/>
        <item x="35"/>
        <item x="133"/>
        <item x="77"/>
        <item x="2"/>
        <item x="144"/>
        <item x="79"/>
        <item x="105"/>
        <item x="87"/>
        <item x="85"/>
        <item x="124"/>
        <item x="101"/>
        <item x="149"/>
        <item x="65"/>
        <item x="73"/>
        <item x="58"/>
        <item x="28"/>
        <item x="94"/>
        <item x="5"/>
        <item x="104"/>
        <item x="115"/>
        <item x="74"/>
        <item x="143"/>
        <item x="120"/>
        <item x="125"/>
        <item x="30"/>
        <item x="131"/>
        <item x="139"/>
        <item x="9"/>
        <item x="71"/>
        <item x="82"/>
        <item x="26"/>
        <item x="13"/>
        <item x="39"/>
        <item x="48"/>
        <item x="29"/>
        <item x="108"/>
        <item x="89"/>
        <item x="6"/>
        <item x="45"/>
        <item x="75"/>
        <item x="117"/>
        <item x="72"/>
        <item x="118"/>
        <item x="121"/>
        <item x="78"/>
        <item x="97"/>
        <item x="119"/>
        <item x="127"/>
        <item x="147"/>
        <item x="93"/>
        <item x="106"/>
        <item x="130"/>
        <item x="3"/>
        <item x="31"/>
        <item x="68"/>
        <item x="44"/>
        <item x="24"/>
        <item x="19"/>
        <item x="140"/>
        <item x="0"/>
        <item x="41"/>
        <item x="84"/>
        <item x="22"/>
        <item x="18"/>
        <item x="56"/>
        <item x="114"/>
        <item x="8"/>
        <item x="100"/>
        <item x="32"/>
        <item x="109"/>
        <item x="142"/>
        <item x="76"/>
        <item x="96"/>
        <item x="81"/>
        <item x="88"/>
        <item x="67"/>
        <item x="113"/>
        <item x="148"/>
        <item x="1"/>
        <item x="111"/>
        <item x="95"/>
        <item x="128"/>
        <item x="141"/>
        <item x="112"/>
        <item x="122"/>
        <item x="34"/>
        <item x="99"/>
        <item x="16"/>
        <item x="15"/>
        <item x="53"/>
        <item x="37"/>
        <item x="103"/>
        <item x="126"/>
        <item x="134"/>
        <item x="145"/>
        <item x="132"/>
        <item x="98"/>
        <item x="80"/>
        <item x="90"/>
        <item x="64"/>
        <item x="52"/>
        <item x="138"/>
        <item x="7"/>
        <item x="27"/>
        <item x="62"/>
        <item x="135"/>
        <item x="12"/>
        <item x="83"/>
        <item x="137"/>
        <item x="55"/>
        <item x="14"/>
        <item x="69"/>
        <item x="146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3">
        <item x="1"/>
        <item x="3"/>
        <item x="9"/>
        <item x="7"/>
        <item x="10"/>
        <item x="8"/>
        <item x="4"/>
        <item x="11"/>
        <item x="0"/>
        <item x="5"/>
        <item x="6"/>
        <item x="2"/>
        <item t="default"/>
      </items>
    </pivotField>
    <pivotField compact="0" showAll="0">
      <items count="145">
        <item x="1"/>
        <item x="110"/>
        <item x="74"/>
        <item x="92"/>
        <item x="108"/>
        <item x="93"/>
        <item x="142"/>
        <item x="65"/>
        <item x="123"/>
        <item x="78"/>
        <item x="85"/>
        <item x="56"/>
        <item x="27"/>
        <item x="91"/>
        <item x="5"/>
        <item x="126"/>
        <item x="29"/>
        <item x="101"/>
        <item x="134"/>
        <item x="112"/>
        <item x="9"/>
        <item x="138"/>
        <item x="72"/>
        <item x="71"/>
        <item x="120"/>
        <item x="38"/>
        <item x="25"/>
        <item x="79"/>
        <item x="69"/>
        <item x="46"/>
        <item x="13"/>
        <item x="124"/>
        <item x="49"/>
        <item x="10"/>
        <item x="39"/>
        <item x="45"/>
        <item x="22"/>
        <item x="59"/>
        <item x="118"/>
        <item x="131"/>
        <item x="57"/>
        <item x="55"/>
        <item x="48"/>
        <item x="104"/>
        <item x="51"/>
        <item x="117"/>
        <item x="109"/>
        <item x="121"/>
        <item x="36"/>
        <item x="16"/>
        <item x="100"/>
        <item x="33"/>
        <item x="129"/>
        <item x="15"/>
        <item x="136"/>
        <item x="96"/>
        <item x="35"/>
        <item x="17"/>
        <item x="11"/>
        <item x="83"/>
        <item x="99"/>
        <item x="47"/>
        <item x="42"/>
        <item x="61"/>
        <item x="41"/>
        <item x="37"/>
        <item x="52"/>
        <item x="24"/>
        <item x="64"/>
        <item x="107"/>
        <item x="58"/>
        <item x="94"/>
        <item x="113"/>
        <item x="73"/>
        <item x="6"/>
        <item x="86"/>
        <item x="115"/>
        <item x="103"/>
        <item x="114"/>
        <item x="105"/>
        <item x="44"/>
        <item x="70"/>
        <item x="28"/>
        <item x="122"/>
        <item x="90"/>
        <item x="116"/>
        <item x="76"/>
        <item x="95"/>
        <item x="127"/>
        <item x="62"/>
        <item x="140"/>
        <item x="87"/>
        <item x="77"/>
        <item x="50"/>
        <item x="133"/>
        <item x="125"/>
        <item x="0"/>
        <item x="135"/>
        <item x="30"/>
        <item x="43"/>
        <item x="23"/>
        <item x="3"/>
        <item x="66"/>
        <item x="67"/>
        <item x="7"/>
        <item x="141"/>
        <item x="12"/>
        <item x="80"/>
        <item x="14"/>
        <item x="132"/>
        <item x="26"/>
        <item x="53"/>
        <item x="130"/>
        <item x="60"/>
        <item x="31"/>
        <item x="21"/>
        <item x="40"/>
        <item x="54"/>
        <item x="81"/>
        <item x="106"/>
        <item x="18"/>
        <item x="97"/>
        <item x="111"/>
        <item x="137"/>
        <item x="8"/>
        <item x="102"/>
        <item x="128"/>
        <item x="19"/>
        <item x="88"/>
        <item x="119"/>
        <item x="68"/>
        <item x="89"/>
        <item x="63"/>
        <item x="98"/>
        <item x="84"/>
        <item x="20"/>
        <item x="2"/>
        <item x="139"/>
        <item x="75"/>
        <item x="34"/>
        <item x="143"/>
        <item x="4"/>
        <item x="82"/>
        <item x="32"/>
        <item t="default"/>
      </items>
    </pivotField>
    <pivotField dataField="1" compact="0" numFmtId="4" showAll="0">
      <items count="151">
        <item x="106"/>
        <item x="130"/>
        <item x="101"/>
        <item x="117"/>
        <item x="125"/>
        <item x="127"/>
        <item x="120"/>
        <item x="104"/>
        <item x="133"/>
        <item x="74"/>
        <item x="85"/>
        <item x="56"/>
        <item x="95"/>
        <item x="75"/>
        <item x="34"/>
        <item x="6"/>
        <item x="114"/>
        <item x="36"/>
        <item x="62"/>
        <item x="45"/>
        <item x="17"/>
        <item x="9"/>
        <item x="147"/>
        <item x="31"/>
        <item x="81"/>
        <item x="41"/>
        <item x="3"/>
        <item x="58"/>
        <item x="4"/>
        <item x="35"/>
        <item x="22"/>
        <item x="113"/>
        <item x="57"/>
        <item x="92"/>
        <item x="100"/>
        <item x="27"/>
        <item x="47"/>
        <item x="126"/>
        <item x="61"/>
        <item x="108"/>
        <item x="123"/>
        <item x="40"/>
        <item x="77"/>
        <item x="94"/>
        <item x="73"/>
        <item x="30"/>
        <item x="78"/>
        <item x="111"/>
        <item x="14"/>
        <item x="49"/>
        <item x="44"/>
        <item x="97"/>
        <item x="52"/>
        <item x="93"/>
        <item x="80"/>
        <item x="15"/>
        <item x="86"/>
        <item x="65"/>
        <item x="138"/>
        <item x="20"/>
        <item x="134"/>
        <item x="143"/>
        <item x="13"/>
        <item x="16"/>
        <item x="84"/>
        <item x="98"/>
        <item x="103"/>
        <item x="70"/>
        <item x="139"/>
        <item x="107"/>
        <item x="149"/>
        <item x="115"/>
        <item x="60"/>
        <item x="24"/>
        <item x="136"/>
        <item x="96"/>
        <item x="19"/>
        <item x="12"/>
        <item x="83"/>
        <item x="0"/>
        <item x="105"/>
        <item x="28"/>
        <item x="135"/>
        <item x="89"/>
        <item x="102"/>
        <item x="129"/>
        <item x="7"/>
        <item x="71"/>
        <item x="146"/>
        <item x="8"/>
        <item x="55"/>
        <item x="50"/>
        <item x="33"/>
        <item x="63"/>
        <item x="51"/>
        <item x="48"/>
        <item x="142"/>
        <item x="87"/>
        <item x="2"/>
        <item x="116"/>
        <item x="88"/>
        <item x="25"/>
        <item x="118"/>
        <item x="76"/>
        <item x="1"/>
        <item x="99"/>
        <item x="69"/>
        <item x="109"/>
        <item x="23"/>
        <item x="82"/>
        <item x="122"/>
        <item x="26"/>
        <item x="137"/>
        <item x="131"/>
        <item x="59"/>
        <item x="32"/>
        <item x="5"/>
        <item x="128"/>
        <item x="21"/>
        <item x="90"/>
        <item x="72"/>
        <item x="110"/>
        <item x="68"/>
        <item x="132"/>
        <item x="91"/>
        <item x="10"/>
        <item x="46"/>
        <item x="38"/>
        <item x="37"/>
        <item x="67"/>
        <item x="66"/>
        <item x="112"/>
        <item x="145"/>
        <item x="29"/>
        <item x="11"/>
        <item x="144"/>
        <item x="64"/>
        <item x="43"/>
        <item x="42"/>
        <item x="141"/>
        <item x="79"/>
        <item x="54"/>
        <item x="18"/>
        <item x="140"/>
        <item x="119"/>
        <item x="121"/>
        <item x="39"/>
        <item x="53"/>
        <item x="124"/>
        <item x="148"/>
        <item t="default"/>
      </items>
    </pivotField>
    <pivotField compact="0" numFmtId="3" showAll="0">
      <items count="11">
        <item x="0"/>
        <item x="4"/>
        <item x="1"/>
        <item x="7"/>
        <item x="3"/>
        <item x="5"/>
        <item x="6"/>
        <item x="8"/>
        <item x="2"/>
        <item x="9"/>
        <item t="default"/>
      </items>
    </pivotField>
    <pivotField compact="0" numFmtId="179" showAll="0">
      <items count="5">
        <item x="0"/>
        <item x="2"/>
        <item x="3"/>
        <item x="1"/>
        <item t="default"/>
      </items>
    </pivotField>
    <pivotField compact="0" numFmtId="4" showAll="0">
      <items count="151">
        <item x="141"/>
        <item x="18"/>
        <item x="91"/>
        <item x="55"/>
        <item x="12"/>
        <item x="51"/>
        <item x="110"/>
        <item x="24"/>
        <item x="134"/>
        <item x="144"/>
        <item x="48"/>
        <item x="94"/>
        <item x="0"/>
        <item x="20"/>
        <item x="116"/>
        <item x="86"/>
        <item x="80"/>
        <item x="113"/>
        <item x="69"/>
        <item x="81"/>
        <item x="148"/>
        <item x="70"/>
        <item x="124"/>
        <item x="30"/>
        <item x="145"/>
        <item x="22"/>
        <item x="32"/>
        <item x="104"/>
        <item x="117"/>
        <item x="111"/>
        <item x="123"/>
        <item x="147"/>
        <item x="52"/>
        <item x="33"/>
        <item x="127"/>
        <item x="120"/>
        <item x="106"/>
        <item x="130"/>
        <item x="83"/>
        <item x="15"/>
        <item x="101"/>
        <item x="5"/>
        <item x="95"/>
        <item x="40"/>
        <item x="82"/>
        <item x="27"/>
        <item x="75"/>
        <item x="38"/>
        <item x="138"/>
        <item x="60"/>
        <item x="125"/>
        <item x="31"/>
        <item x="62"/>
        <item x="49"/>
        <item x="114"/>
        <item x="74"/>
        <item x="87"/>
        <item x="9"/>
        <item x="128"/>
        <item x="133"/>
        <item x="17"/>
        <item x="45"/>
        <item x="103"/>
        <item x="36"/>
        <item x="6"/>
        <item x="100"/>
        <item x="85"/>
        <item x="4"/>
        <item x="56"/>
        <item x="57"/>
        <item x="1"/>
        <item x="126"/>
        <item x="115"/>
        <item x="97"/>
        <item x="118"/>
        <item x="59"/>
        <item x="7"/>
        <item x="34"/>
        <item x="35"/>
        <item x="47"/>
        <item x="146"/>
        <item x="44"/>
        <item x="41"/>
        <item x="122"/>
        <item x="28"/>
        <item x="29"/>
        <item x="139"/>
        <item x="8"/>
        <item x="119"/>
        <item x="108"/>
        <item x="3"/>
        <item x="11"/>
        <item x="143"/>
        <item x="67"/>
        <item x="77"/>
        <item x="129"/>
        <item x="58"/>
        <item x="131"/>
        <item x="135"/>
        <item x="136"/>
        <item x="14"/>
        <item x="61"/>
        <item x="105"/>
        <item x="92"/>
        <item x="89"/>
        <item x="93"/>
        <item x="107"/>
        <item x="13"/>
        <item x="142"/>
        <item x="84"/>
        <item x="88"/>
        <item x="73"/>
        <item x="96"/>
        <item x="71"/>
        <item x="78"/>
        <item x="46"/>
        <item x="90"/>
        <item x="16"/>
        <item x="149"/>
        <item x="79"/>
        <item x="68"/>
        <item x="43"/>
        <item x="65"/>
        <item x="98"/>
        <item x="50"/>
        <item x="21"/>
        <item x="53"/>
        <item x="54"/>
        <item x="23"/>
        <item x="19"/>
        <item x="137"/>
        <item x="121"/>
        <item x="10"/>
        <item x="102"/>
        <item x="140"/>
        <item x="112"/>
        <item x="26"/>
        <item x="42"/>
        <item x="72"/>
        <item x="63"/>
        <item x="2"/>
        <item x="99"/>
        <item x="64"/>
        <item x="76"/>
        <item x="25"/>
        <item x="109"/>
        <item x="37"/>
        <item x="132"/>
        <item x="39"/>
        <item x="66"/>
        <item t="default"/>
      </items>
    </pivotField>
    <pivotField compact="0" numFmtId="10" showAll="0">
      <items count="151">
        <item x="12"/>
        <item x="94"/>
        <item x="141"/>
        <item x="134"/>
        <item x="55"/>
        <item x="24"/>
        <item x="51"/>
        <item x="113"/>
        <item x="81"/>
        <item x="18"/>
        <item x="91"/>
        <item x="20"/>
        <item x="110"/>
        <item x="48"/>
        <item x="0"/>
        <item x="86"/>
        <item x="80"/>
        <item x="144"/>
        <item x="116"/>
        <item x="69"/>
        <item x="70"/>
        <item x="148"/>
        <item x="30"/>
        <item x="124"/>
        <item x="22"/>
        <item x="145"/>
        <item x="32"/>
        <item x="111"/>
        <item x="33"/>
        <item x="123"/>
        <item x="104"/>
        <item x="52"/>
        <item x="83"/>
        <item x="5"/>
        <item x="38"/>
        <item x="82"/>
        <item x="15"/>
        <item x="147"/>
        <item x="117"/>
        <item x="128"/>
        <item x="87"/>
        <item x="60"/>
        <item x="40"/>
        <item x="138"/>
        <item x="1"/>
        <item x="59"/>
        <item x="27"/>
        <item x="49"/>
        <item x="118"/>
        <item x="103"/>
        <item x="29"/>
        <item x="119"/>
        <item x="122"/>
        <item x="7"/>
        <item x="115"/>
        <item x="11"/>
        <item x="67"/>
        <item x="146"/>
        <item x="8"/>
        <item x="97"/>
        <item x="28"/>
        <item x="120"/>
        <item x="127"/>
        <item x="131"/>
        <item x="31"/>
        <item x="126"/>
        <item x="100"/>
        <item x="139"/>
        <item x="95"/>
        <item x="57"/>
        <item x="129"/>
        <item x="44"/>
        <item x="75"/>
        <item x="4"/>
        <item x="135"/>
        <item x="9"/>
        <item x="62"/>
        <item x="136"/>
        <item x="47"/>
        <item x="143"/>
        <item x="105"/>
        <item x="142"/>
        <item x="46"/>
        <item x="89"/>
        <item x="17"/>
        <item x="88"/>
        <item x="79"/>
        <item x="43"/>
        <item x="53"/>
        <item x="90"/>
        <item x="108"/>
        <item x="114"/>
        <item x="45"/>
        <item x="54"/>
        <item x="35"/>
        <item x="68"/>
        <item x="101"/>
        <item x="130"/>
        <item x="107"/>
        <item x="71"/>
        <item x="21"/>
        <item x="121"/>
        <item x="14"/>
        <item x="77"/>
        <item x="36"/>
        <item x="96"/>
        <item x="140"/>
        <item x="13"/>
        <item x="84"/>
        <item x="10"/>
        <item x="50"/>
        <item x="23"/>
        <item x="6"/>
        <item x="41"/>
        <item x="93"/>
        <item x="137"/>
        <item x="112"/>
        <item x="61"/>
        <item x="42"/>
        <item x="74"/>
        <item x="64"/>
        <item x="149"/>
        <item x="72"/>
        <item x="3"/>
        <item x="37"/>
        <item x="133"/>
        <item x="26"/>
        <item x="92"/>
        <item x="125"/>
        <item x="85"/>
        <item x="16"/>
        <item x="98"/>
        <item x="39"/>
        <item x="56"/>
        <item x="73"/>
        <item x="19"/>
        <item x="78"/>
        <item x="34"/>
        <item x="106"/>
        <item x="99"/>
        <item x="102"/>
        <item x="109"/>
        <item x="76"/>
        <item x="2"/>
        <item x="132"/>
        <item x="25"/>
        <item x="63"/>
        <item x="65"/>
        <item x="66"/>
        <item x="5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3">
        <item x="11"/>
        <item x="4"/>
        <item x="2"/>
        <item x="1"/>
        <item x="5"/>
        <item x="10"/>
        <item x="3"/>
        <item x="6"/>
        <item x="7"/>
        <item x="9"/>
        <item x="0"/>
        <item x="8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Sales_Catego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24:K27" firstHeaderRow="0" firstDataRow="1" firstDataCol="1"/>
  <pivotFields count="24">
    <pivotField dataField="1" compact="0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compact="0" numFmtId="17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178" showAll="0">
      <items count="128">
        <item x="119"/>
        <item x="68"/>
        <item x="102"/>
        <item x="103"/>
        <item x="125"/>
        <item x="48"/>
        <item x="19"/>
        <item x="29"/>
        <item x="11"/>
        <item x="116"/>
        <item x="98"/>
        <item x="64"/>
        <item x="58"/>
        <item x="92"/>
        <item x="4"/>
        <item x="66"/>
        <item x="107"/>
        <item x="85"/>
        <item x="76"/>
        <item x="114"/>
        <item x="108"/>
        <item x="53"/>
        <item x="75"/>
        <item x="2"/>
        <item x="109"/>
        <item x="72"/>
        <item x="97"/>
        <item x="17"/>
        <item x="40"/>
        <item x="112"/>
        <item x="25"/>
        <item x="32"/>
        <item x="117"/>
        <item x="20"/>
        <item x="82"/>
        <item x="6"/>
        <item x="21"/>
        <item x="45"/>
        <item x="123"/>
        <item x="1"/>
        <item x="5"/>
        <item x="16"/>
        <item x="80"/>
        <item x="51"/>
        <item x="69"/>
        <item x="35"/>
        <item x="47"/>
        <item x="59"/>
        <item x="93"/>
        <item x="126"/>
        <item x="52"/>
        <item x="63"/>
        <item x="86"/>
        <item x="71"/>
        <item x="121"/>
        <item x="57"/>
        <item x="78"/>
        <item x="74"/>
        <item x="56"/>
        <item x="42"/>
        <item x="96"/>
        <item x="90"/>
        <item x="101"/>
        <item x="24"/>
        <item x="3"/>
        <item x="39"/>
        <item x="115"/>
        <item x="89"/>
        <item x="88"/>
        <item x="100"/>
        <item x="105"/>
        <item x="7"/>
        <item x="31"/>
        <item x="34"/>
        <item x="9"/>
        <item x="46"/>
        <item x="65"/>
        <item x="26"/>
        <item x="99"/>
        <item x="49"/>
        <item x="37"/>
        <item x="62"/>
        <item x="54"/>
        <item x="67"/>
        <item x="28"/>
        <item x="27"/>
        <item x="44"/>
        <item x="104"/>
        <item x="10"/>
        <item x="18"/>
        <item x="43"/>
        <item x="110"/>
        <item x="22"/>
        <item x="70"/>
        <item x="106"/>
        <item x="81"/>
        <item x="113"/>
        <item x="14"/>
        <item x="36"/>
        <item x="120"/>
        <item x="38"/>
        <item x="8"/>
        <item x="118"/>
        <item x="50"/>
        <item x="41"/>
        <item x="13"/>
        <item x="84"/>
        <item x="91"/>
        <item x="23"/>
        <item x="0"/>
        <item x="15"/>
        <item x="95"/>
        <item x="60"/>
        <item x="33"/>
        <item x="61"/>
        <item x="83"/>
        <item x="94"/>
        <item x="77"/>
        <item x="122"/>
        <item x="30"/>
        <item x="87"/>
        <item x="12"/>
        <item x="55"/>
        <item x="124"/>
        <item x="111"/>
        <item x="73"/>
        <item x="79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151">
        <item x="147"/>
        <item x="38"/>
        <item x="28"/>
        <item x="112"/>
        <item x="47"/>
        <item x="122"/>
        <item x="67"/>
        <item x="33"/>
        <item x="18"/>
        <item x="81"/>
        <item x="114"/>
        <item x="84"/>
        <item x="86"/>
        <item x="127"/>
        <item x="13"/>
        <item x="56"/>
        <item x="72"/>
        <item x="113"/>
        <item x="40"/>
        <item x="103"/>
        <item x="79"/>
        <item x="51"/>
        <item x="2"/>
        <item x="94"/>
        <item x="24"/>
        <item x="19"/>
        <item x="119"/>
        <item x="52"/>
        <item x="128"/>
        <item x="11"/>
        <item x="75"/>
        <item x="21"/>
        <item x="22"/>
        <item x="146"/>
        <item x="65"/>
        <item x="108"/>
        <item x="60"/>
        <item x="43"/>
        <item x="57"/>
        <item x="32"/>
        <item x="130"/>
        <item x="125"/>
        <item x="83"/>
        <item x="59"/>
        <item x="26"/>
        <item x="91"/>
        <item x="115"/>
        <item x="144"/>
        <item x="25"/>
        <item x="6"/>
        <item x="90"/>
        <item x="107"/>
        <item x="66"/>
        <item x="99"/>
        <item x="55"/>
        <item x="135"/>
        <item x="48"/>
        <item x="14"/>
        <item x="110"/>
        <item x="23"/>
        <item x="50"/>
        <item x="41"/>
        <item x="95"/>
        <item x="136"/>
        <item x="20"/>
        <item x="0"/>
        <item x="36"/>
        <item x="62"/>
        <item x="149"/>
        <item x="44"/>
        <item x="49"/>
        <item x="109"/>
        <item x="143"/>
        <item x="118"/>
        <item x="133"/>
        <item x="70"/>
        <item x="134"/>
        <item x="37"/>
        <item x="105"/>
        <item x="39"/>
        <item x="104"/>
        <item x="129"/>
        <item x="121"/>
        <item x="7"/>
        <item x="116"/>
        <item x="5"/>
        <item x="64"/>
        <item x="17"/>
        <item x="139"/>
        <item x="145"/>
        <item x="77"/>
        <item x="98"/>
        <item x="96"/>
        <item x="53"/>
        <item x="15"/>
        <item x="97"/>
        <item x="142"/>
        <item x="120"/>
        <item x="34"/>
        <item x="87"/>
        <item x="46"/>
        <item x="132"/>
        <item x="54"/>
        <item x="4"/>
        <item x="85"/>
        <item x="27"/>
        <item x="63"/>
        <item x="102"/>
        <item x="68"/>
        <item x="88"/>
        <item x="76"/>
        <item x="10"/>
        <item x="80"/>
        <item x="45"/>
        <item x="131"/>
        <item x="124"/>
        <item x="138"/>
        <item x="9"/>
        <item x="126"/>
        <item x="111"/>
        <item x="61"/>
        <item x="12"/>
        <item x="141"/>
        <item x="92"/>
        <item x="148"/>
        <item x="35"/>
        <item x="137"/>
        <item x="16"/>
        <item x="8"/>
        <item x="1"/>
        <item x="100"/>
        <item x="82"/>
        <item x="73"/>
        <item x="29"/>
        <item x="101"/>
        <item x="58"/>
        <item x="74"/>
        <item x="78"/>
        <item x="31"/>
        <item x="69"/>
        <item x="71"/>
        <item x="42"/>
        <item x="3"/>
        <item x="117"/>
        <item x="30"/>
        <item x="89"/>
        <item x="106"/>
        <item x="140"/>
        <item x="93"/>
        <item x="123"/>
        <item t="default"/>
      </items>
    </pivotField>
    <pivotField compact="0" showAll="0">
      <items count="47">
        <item x="8"/>
        <item x="27"/>
        <item x="39"/>
        <item x="30"/>
        <item x="1"/>
        <item x="35"/>
        <item x="7"/>
        <item x="0"/>
        <item x="17"/>
        <item x="5"/>
        <item x="34"/>
        <item x="10"/>
        <item x="28"/>
        <item x="40"/>
        <item x="31"/>
        <item x="21"/>
        <item x="41"/>
        <item x="20"/>
        <item x="44"/>
        <item x="12"/>
        <item x="13"/>
        <item x="14"/>
        <item x="29"/>
        <item x="37"/>
        <item x="42"/>
        <item x="26"/>
        <item x="45"/>
        <item x="19"/>
        <item x="36"/>
        <item x="18"/>
        <item x="3"/>
        <item x="4"/>
        <item x="6"/>
        <item x="11"/>
        <item x="23"/>
        <item x="38"/>
        <item x="43"/>
        <item x="15"/>
        <item x="24"/>
        <item x="9"/>
        <item x="22"/>
        <item x="32"/>
        <item x="2"/>
        <item x="16"/>
        <item x="25"/>
        <item x="3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h="1" x="3"/>
        <item x="2"/>
        <item x="1"/>
        <item x="0"/>
        <item t="default"/>
      </items>
    </pivotField>
    <pivotField compact="0" showAll="0">
      <items count="151">
        <item x="23"/>
        <item x="40"/>
        <item x="10"/>
        <item x="46"/>
        <item x="123"/>
        <item x="61"/>
        <item x="129"/>
        <item x="51"/>
        <item x="116"/>
        <item x="47"/>
        <item x="136"/>
        <item x="59"/>
        <item x="57"/>
        <item x="107"/>
        <item x="50"/>
        <item x="54"/>
        <item x="36"/>
        <item x="110"/>
        <item x="42"/>
        <item x="102"/>
        <item x="63"/>
        <item x="43"/>
        <item x="60"/>
        <item x="25"/>
        <item x="11"/>
        <item x="66"/>
        <item x="17"/>
        <item x="86"/>
        <item x="49"/>
        <item x="38"/>
        <item x="91"/>
        <item x="20"/>
        <item x="70"/>
        <item x="92"/>
        <item x="21"/>
        <item x="33"/>
        <item x="4"/>
        <item x="35"/>
        <item x="133"/>
        <item x="77"/>
        <item x="2"/>
        <item x="144"/>
        <item x="79"/>
        <item x="105"/>
        <item x="87"/>
        <item x="85"/>
        <item x="124"/>
        <item x="101"/>
        <item x="149"/>
        <item x="65"/>
        <item x="73"/>
        <item x="58"/>
        <item x="28"/>
        <item x="94"/>
        <item x="5"/>
        <item x="104"/>
        <item x="115"/>
        <item x="74"/>
        <item x="143"/>
        <item x="120"/>
        <item x="125"/>
        <item x="30"/>
        <item x="131"/>
        <item x="139"/>
        <item x="9"/>
        <item x="71"/>
        <item x="82"/>
        <item x="26"/>
        <item x="13"/>
        <item x="39"/>
        <item x="48"/>
        <item x="29"/>
        <item x="108"/>
        <item x="89"/>
        <item x="6"/>
        <item x="45"/>
        <item x="75"/>
        <item x="117"/>
        <item x="72"/>
        <item x="118"/>
        <item x="121"/>
        <item x="78"/>
        <item x="97"/>
        <item x="119"/>
        <item x="127"/>
        <item x="147"/>
        <item x="93"/>
        <item x="106"/>
        <item x="130"/>
        <item x="3"/>
        <item x="31"/>
        <item x="68"/>
        <item x="44"/>
        <item x="24"/>
        <item x="19"/>
        <item x="140"/>
        <item x="0"/>
        <item x="41"/>
        <item x="84"/>
        <item x="22"/>
        <item x="18"/>
        <item x="56"/>
        <item x="114"/>
        <item x="8"/>
        <item x="100"/>
        <item x="32"/>
        <item x="109"/>
        <item x="142"/>
        <item x="76"/>
        <item x="96"/>
        <item x="81"/>
        <item x="88"/>
        <item x="67"/>
        <item x="113"/>
        <item x="148"/>
        <item x="1"/>
        <item x="111"/>
        <item x="95"/>
        <item x="128"/>
        <item x="141"/>
        <item x="112"/>
        <item x="122"/>
        <item x="34"/>
        <item x="99"/>
        <item x="16"/>
        <item x="15"/>
        <item x="53"/>
        <item x="37"/>
        <item x="103"/>
        <item x="126"/>
        <item x="134"/>
        <item x="145"/>
        <item x="132"/>
        <item x="98"/>
        <item x="80"/>
        <item x="90"/>
        <item x="64"/>
        <item x="52"/>
        <item x="138"/>
        <item x="7"/>
        <item x="27"/>
        <item x="62"/>
        <item x="135"/>
        <item x="12"/>
        <item x="83"/>
        <item x="137"/>
        <item x="55"/>
        <item x="14"/>
        <item x="69"/>
        <item x="146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3">
        <item x="1"/>
        <item x="3"/>
        <item x="9"/>
        <item x="7"/>
        <item x="10"/>
        <item x="8"/>
        <item x="4"/>
        <item x="11"/>
        <item x="0"/>
        <item x="5"/>
        <item x="6"/>
        <item x="2"/>
        <item t="default"/>
      </items>
    </pivotField>
    <pivotField compact="0" showAll="0">
      <items count="145">
        <item x="1"/>
        <item x="110"/>
        <item x="74"/>
        <item x="92"/>
        <item x="108"/>
        <item x="93"/>
        <item x="142"/>
        <item x="65"/>
        <item x="123"/>
        <item x="78"/>
        <item x="85"/>
        <item x="56"/>
        <item x="27"/>
        <item x="91"/>
        <item x="5"/>
        <item x="126"/>
        <item x="29"/>
        <item x="101"/>
        <item x="134"/>
        <item x="112"/>
        <item x="9"/>
        <item x="138"/>
        <item x="72"/>
        <item x="71"/>
        <item x="120"/>
        <item x="38"/>
        <item x="25"/>
        <item x="79"/>
        <item x="69"/>
        <item x="46"/>
        <item x="13"/>
        <item x="124"/>
        <item x="49"/>
        <item x="10"/>
        <item x="39"/>
        <item x="45"/>
        <item x="22"/>
        <item x="59"/>
        <item x="118"/>
        <item x="131"/>
        <item x="57"/>
        <item x="55"/>
        <item x="48"/>
        <item x="104"/>
        <item x="51"/>
        <item x="117"/>
        <item x="109"/>
        <item x="121"/>
        <item x="36"/>
        <item x="16"/>
        <item x="100"/>
        <item x="33"/>
        <item x="129"/>
        <item x="15"/>
        <item x="136"/>
        <item x="96"/>
        <item x="35"/>
        <item x="17"/>
        <item x="11"/>
        <item x="83"/>
        <item x="99"/>
        <item x="47"/>
        <item x="42"/>
        <item x="61"/>
        <item x="41"/>
        <item x="37"/>
        <item x="52"/>
        <item x="24"/>
        <item x="64"/>
        <item x="107"/>
        <item x="58"/>
        <item x="94"/>
        <item x="113"/>
        <item x="73"/>
        <item x="6"/>
        <item x="86"/>
        <item x="115"/>
        <item x="103"/>
        <item x="114"/>
        <item x="105"/>
        <item x="44"/>
        <item x="70"/>
        <item x="28"/>
        <item x="122"/>
        <item x="90"/>
        <item x="116"/>
        <item x="76"/>
        <item x="95"/>
        <item x="127"/>
        <item x="62"/>
        <item x="140"/>
        <item x="87"/>
        <item x="77"/>
        <item x="50"/>
        <item x="133"/>
        <item x="125"/>
        <item x="0"/>
        <item x="135"/>
        <item x="30"/>
        <item x="43"/>
        <item x="23"/>
        <item x="3"/>
        <item x="66"/>
        <item x="67"/>
        <item x="7"/>
        <item x="141"/>
        <item x="12"/>
        <item x="80"/>
        <item x="14"/>
        <item x="132"/>
        <item x="26"/>
        <item x="53"/>
        <item x="130"/>
        <item x="60"/>
        <item x="31"/>
        <item x="21"/>
        <item x="40"/>
        <item x="54"/>
        <item x="81"/>
        <item x="106"/>
        <item x="18"/>
        <item x="97"/>
        <item x="111"/>
        <item x="137"/>
        <item x="8"/>
        <item x="102"/>
        <item x="128"/>
        <item x="19"/>
        <item x="88"/>
        <item x="119"/>
        <item x="68"/>
        <item x="89"/>
        <item x="63"/>
        <item x="98"/>
        <item x="84"/>
        <item x="20"/>
        <item x="2"/>
        <item x="139"/>
        <item x="75"/>
        <item x="34"/>
        <item x="143"/>
        <item x="4"/>
        <item x="82"/>
        <item x="32"/>
        <item t="default"/>
      </items>
    </pivotField>
    <pivotField dataField="1" compact="0" numFmtId="4" showAll="0">
      <items count="151">
        <item x="106"/>
        <item x="130"/>
        <item x="101"/>
        <item x="117"/>
        <item x="125"/>
        <item x="127"/>
        <item x="120"/>
        <item x="104"/>
        <item x="133"/>
        <item x="74"/>
        <item x="85"/>
        <item x="56"/>
        <item x="95"/>
        <item x="75"/>
        <item x="34"/>
        <item x="6"/>
        <item x="114"/>
        <item x="36"/>
        <item x="62"/>
        <item x="45"/>
        <item x="17"/>
        <item x="9"/>
        <item x="147"/>
        <item x="31"/>
        <item x="81"/>
        <item x="41"/>
        <item x="3"/>
        <item x="58"/>
        <item x="4"/>
        <item x="35"/>
        <item x="22"/>
        <item x="113"/>
        <item x="57"/>
        <item x="92"/>
        <item x="100"/>
        <item x="27"/>
        <item x="47"/>
        <item x="126"/>
        <item x="61"/>
        <item x="108"/>
        <item x="123"/>
        <item x="40"/>
        <item x="77"/>
        <item x="94"/>
        <item x="73"/>
        <item x="30"/>
        <item x="78"/>
        <item x="111"/>
        <item x="14"/>
        <item x="49"/>
        <item x="44"/>
        <item x="97"/>
        <item x="52"/>
        <item x="93"/>
        <item x="80"/>
        <item x="15"/>
        <item x="86"/>
        <item x="65"/>
        <item x="138"/>
        <item x="20"/>
        <item x="134"/>
        <item x="143"/>
        <item x="13"/>
        <item x="16"/>
        <item x="84"/>
        <item x="98"/>
        <item x="103"/>
        <item x="70"/>
        <item x="139"/>
        <item x="107"/>
        <item x="149"/>
        <item x="115"/>
        <item x="60"/>
        <item x="24"/>
        <item x="136"/>
        <item x="96"/>
        <item x="19"/>
        <item x="12"/>
        <item x="83"/>
        <item x="0"/>
        <item x="105"/>
        <item x="28"/>
        <item x="135"/>
        <item x="89"/>
        <item x="102"/>
        <item x="129"/>
        <item x="7"/>
        <item x="71"/>
        <item x="146"/>
        <item x="8"/>
        <item x="55"/>
        <item x="50"/>
        <item x="33"/>
        <item x="63"/>
        <item x="51"/>
        <item x="48"/>
        <item x="142"/>
        <item x="87"/>
        <item x="2"/>
        <item x="116"/>
        <item x="88"/>
        <item x="25"/>
        <item x="118"/>
        <item x="76"/>
        <item x="1"/>
        <item x="99"/>
        <item x="69"/>
        <item x="109"/>
        <item x="23"/>
        <item x="82"/>
        <item x="122"/>
        <item x="26"/>
        <item x="137"/>
        <item x="131"/>
        <item x="59"/>
        <item x="32"/>
        <item x="5"/>
        <item x="128"/>
        <item x="21"/>
        <item x="90"/>
        <item x="72"/>
        <item x="110"/>
        <item x="68"/>
        <item x="132"/>
        <item x="91"/>
        <item x="10"/>
        <item x="46"/>
        <item x="38"/>
        <item x="37"/>
        <item x="67"/>
        <item x="66"/>
        <item x="112"/>
        <item x="145"/>
        <item x="29"/>
        <item x="11"/>
        <item x="144"/>
        <item x="64"/>
        <item x="43"/>
        <item x="42"/>
        <item x="141"/>
        <item x="79"/>
        <item x="54"/>
        <item x="18"/>
        <item x="140"/>
        <item x="119"/>
        <item x="121"/>
        <item x="39"/>
        <item x="53"/>
        <item x="124"/>
        <item x="148"/>
        <item t="default"/>
      </items>
    </pivotField>
    <pivotField compact="0" numFmtId="3" showAll="0">
      <items count="11">
        <item x="0"/>
        <item x="4"/>
        <item x="1"/>
        <item x="7"/>
        <item x="3"/>
        <item x="5"/>
        <item x="6"/>
        <item x="8"/>
        <item x="2"/>
        <item x="9"/>
        <item t="default"/>
      </items>
    </pivotField>
    <pivotField compact="0" numFmtId="179" showAll="0">
      <items count="5">
        <item x="0"/>
        <item x="2"/>
        <item x="3"/>
        <item x="1"/>
        <item t="default"/>
      </items>
    </pivotField>
    <pivotField compact="0" numFmtId="4" showAll="0">
      <items count="151">
        <item x="141"/>
        <item x="18"/>
        <item x="91"/>
        <item x="55"/>
        <item x="12"/>
        <item x="51"/>
        <item x="110"/>
        <item x="24"/>
        <item x="134"/>
        <item x="144"/>
        <item x="48"/>
        <item x="94"/>
        <item x="0"/>
        <item x="20"/>
        <item x="116"/>
        <item x="86"/>
        <item x="80"/>
        <item x="113"/>
        <item x="69"/>
        <item x="81"/>
        <item x="148"/>
        <item x="70"/>
        <item x="124"/>
        <item x="30"/>
        <item x="145"/>
        <item x="22"/>
        <item x="32"/>
        <item x="104"/>
        <item x="117"/>
        <item x="111"/>
        <item x="123"/>
        <item x="147"/>
        <item x="52"/>
        <item x="33"/>
        <item x="127"/>
        <item x="120"/>
        <item x="106"/>
        <item x="130"/>
        <item x="83"/>
        <item x="15"/>
        <item x="101"/>
        <item x="5"/>
        <item x="95"/>
        <item x="40"/>
        <item x="82"/>
        <item x="27"/>
        <item x="75"/>
        <item x="38"/>
        <item x="138"/>
        <item x="60"/>
        <item x="125"/>
        <item x="31"/>
        <item x="62"/>
        <item x="49"/>
        <item x="114"/>
        <item x="74"/>
        <item x="87"/>
        <item x="9"/>
        <item x="128"/>
        <item x="133"/>
        <item x="17"/>
        <item x="45"/>
        <item x="103"/>
        <item x="36"/>
        <item x="6"/>
        <item x="100"/>
        <item x="85"/>
        <item x="4"/>
        <item x="56"/>
        <item x="57"/>
        <item x="1"/>
        <item x="126"/>
        <item x="115"/>
        <item x="97"/>
        <item x="118"/>
        <item x="59"/>
        <item x="7"/>
        <item x="34"/>
        <item x="35"/>
        <item x="47"/>
        <item x="146"/>
        <item x="44"/>
        <item x="41"/>
        <item x="122"/>
        <item x="28"/>
        <item x="29"/>
        <item x="139"/>
        <item x="8"/>
        <item x="119"/>
        <item x="108"/>
        <item x="3"/>
        <item x="11"/>
        <item x="143"/>
        <item x="67"/>
        <item x="77"/>
        <item x="129"/>
        <item x="58"/>
        <item x="131"/>
        <item x="135"/>
        <item x="136"/>
        <item x="14"/>
        <item x="61"/>
        <item x="105"/>
        <item x="92"/>
        <item x="89"/>
        <item x="93"/>
        <item x="107"/>
        <item x="13"/>
        <item x="142"/>
        <item x="84"/>
        <item x="88"/>
        <item x="73"/>
        <item x="96"/>
        <item x="71"/>
        <item x="78"/>
        <item x="46"/>
        <item x="90"/>
        <item x="16"/>
        <item x="149"/>
        <item x="79"/>
        <item x="68"/>
        <item x="43"/>
        <item x="65"/>
        <item x="98"/>
        <item x="50"/>
        <item x="21"/>
        <item x="53"/>
        <item x="54"/>
        <item x="23"/>
        <item x="19"/>
        <item x="137"/>
        <item x="121"/>
        <item x="10"/>
        <item x="102"/>
        <item x="140"/>
        <item x="112"/>
        <item x="26"/>
        <item x="42"/>
        <item x="72"/>
        <item x="63"/>
        <item x="2"/>
        <item x="99"/>
        <item x="64"/>
        <item x="76"/>
        <item x="25"/>
        <item x="109"/>
        <item x="37"/>
        <item x="132"/>
        <item x="39"/>
        <item x="66"/>
        <item t="default"/>
      </items>
    </pivotField>
    <pivotField compact="0" numFmtId="10" showAll="0">
      <items count="151">
        <item x="12"/>
        <item x="94"/>
        <item x="141"/>
        <item x="134"/>
        <item x="55"/>
        <item x="24"/>
        <item x="51"/>
        <item x="113"/>
        <item x="81"/>
        <item x="18"/>
        <item x="91"/>
        <item x="20"/>
        <item x="110"/>
        <item x="48"/>
        <item x="0"/>
        <item x="86"/>
        <item x="80"/>
        <item x="144"/>
        <item x="116"/>
        <item x="69"/>
        <item x="70"/>
        <item x="148"/>
        <item x="30"/>
        <item x="124"/>
        <item x="22"/>
        <item x="145"/>
        <item x="32"/>
        <item x="111"/>
        <item x="33"/>
        <item x="123"/>
        <item x="104"/>
        <item x="52"/>
        <item x="83"/>
        <item x="5"/>
        <item x="38"/>
        <item x="82"/>
        <item x="15"/>
        <item x="147"/>
        <item x="117"/>
        <item x="128"/>
        <item x="87"/>
        <item x="60"/>
        <item x="40"/>
        <item x="138"/>
        <item x="1"/>
        <item x="59"/>
        <item x="27"/>
        <item x="49"/>
        <item x="118"/>
        <item x="103"/>
        <item x="29"/>
        <item x="119"/>
        <item x="122"/>
        <item x="7"/>
        <item x="115"/>
        <item x="11"/>
        <item x="67"/>
        <item x="146"/>
        <item x="8"/>
        <item x="97"/>
        <item x="28"/>
        <item x="120"/>
        <item x="127"/>
        <item x="131"/>
        <item x="31"/>
        <item x="126"/>
        <item x="100"/>
        <item x="139"/>
        <item x="95"/>
        <item x="57"/>
        <item x="129"/>
        <item x="44"/>
        <item x="75"/>
        <item x="4"/>
        <item x="135"/>
        <item x="9"/>
        <item x="62"/>
        <item x="136"/>
        <item x="47"/>
        <item x="143"/>
        <item x="105"/>
        <item x="142"/>
        <item x="46"/>
        <item x="89"/>
        <item x="17"/>
        <item x="88"/>
        <item x="79"/>
        <item x="43"/>
        <item x="53"/>
        <item x="90"/>
        <item x="108"/>
        <item x="114"/>
        <item x="45"/>
        <item x="54"/>
        <item x="35"/>
        <item x="68"/>
        <item x="101"/>
        <item x="130"/>
        <item x="107"/>
        <item x="71"/>
        <item x="21"/>
        <item x="121"/>
        <item x="14"/>
        <item x="77"/>
        <item x="36"/>
        <item x="96"/>
        <item x="140"/>
        <item x="13"/>
        <item x="84"/>
        <item x="10"/>
        <item x="50"/>
        <item x="23"/>
        <item x="6"/>
        <item x="41"/>
        <item x="93"/>
        <item x="137"/>
        <item x="112"/>
        <item x="61"/>
        <item x="42"/>
        <item x="74"/>
        <item x="64"/>
        <item x="149"/>
        <item x="72"/>
        <item x="3"/>
        <item x="37"/>
        <item x="133"/>
        <item x="26"/>
        <item x="92"/>
        <item x="125"/>
        <item x="85"/>
        <item x="16"/>
        <item x="98"/>
        <item x="39"/>
        <item x="56"/>
        <item x="73"/>
        <item x="19"/>
        <item x="78"/>
        <item x="34"/>
        <item x="106"/>
        <item x="99"/>
        <item x="102"/>
        <item x="109"/>
        <item x="76"/>
        <item x="2"/>
        <item x="132"/>
        <item x="25"/>
        <item x="63"/>
        <item x="65"/>
        <item x="66"/>
        <item x="58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13">
        <item x="11"/>
        <item x="4"/>
        <item x="2"/>
        <item x="1"/>
        <item x="5"/>
        <item x="10"/>
        <item x="3"/>
        <item x="6"/>
        <item x="7"/>
        <item x="9"/>
        <item x="0"/>
        <item x="8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Count of Customer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6" name="Regional_Performance"/>
    <pivotTable tabId="6" name="Category_Profitability"/>
    <pivotTable tabId="6" name="Customer_Segmentation"/>
    <pivotTable tabId="6" name="Monthly_Sales_Trend"/>
    <pivotTable tabId="6" name="Sales_Category"/>
  </pivotTables>
  <data>
    <tabular pivotCacheId="1">
      <items count="4">
        <i x="3" s="0"/>
        <i x="2" s="1"/>
        <i x="1" s="1"/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6" name="Customer_Segmentation"/>
    <pivotTable tabId="6" name="Regional_Performance"/>
    <pivotTable tabId="6" name="Category_Profitability"/>
    <pivotTable tabId="6" name="Monthly_Sales_Trend"/>
    <pivotTable tabId="6" name="Sales_Category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6" name="Category_Profitability"/>
    <pivotTable tabId="6" name="Regional_Performance"/>
    <pivotTable tabId="6" name="Customer_Segmentation"/>
    <pivotTable tabId="6" name="Monthly_Sales_Trend"/>
    <pivotTable tabId="6" name="Sales_Category"/>
  </pivotTables>
  <data>
    <tabular pivotCacheId="1">
      <items count="3">
        <i x="2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8600"/>
  <slicer name="Category" cache="Slicer_Category" caption="Category" rowHeight="320040"/>
  <slicer name="Segment" cache="Slicer_Segment" caption="Segment" rowHeight="32004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showGridLines="0" tabSelected="1" zoomScale="60" zoomScaleNormal="60" topLeftCell="A3" workbookViewId="0">
      <selection activeCell="N11" sqref="N11"/>
    </sheetView>
  </sheetViews>
  <sheetFormatPr defaultColWidth="9" defaultRowHeight="14.4" outlineLevelRow="6"/>
  <cols>
    <col min="1" max="1" width="16" customWidth="1"/>
    <col min="2" max="3" width="15" customWidth="1"/>
    <col min="4" max="4" width="4" customWidth="1"/>
    <col min="5" max="5" width="16" customWidth="1"/>
    <col min="6" max="6" width="15" customWidth="1"/>
    <col min="7" max="7" width="4" customWidth="1"/>
    <col min="8" max="8" width="18" customWidth="1"/>
    <col min="9" max="9" width="16" customWidth="1"/>
    <col min="10" max="12" width="14" customWidth="1"/>
  </cols>
  <sheetData>
    <row r="1" ht="25.8" spans="1:2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1">
      <c r="A2" s="10" t="s">
        <v>1</v>
      </c>
    </row>
    <row r="4" ht="25" customHeight="1" spans="2:19">
      <c r="B4" s="11" t="s">
        <v>2</v>
      </c>
      <c r="J4" s="13" t="s">
        <v>3</v>
      </c>
      <c r="R4" s="14" t="s">
        <v>4</v>
      </c>
      <c r="S4" s="14"/>
    </row>
    <row r="5" ht="21" spans="2:19">
      <c r="B5" s="12">
        <f>GETPIVOTDATA("Sum of Sales",Pivot_Tables!$A$2)</f>
        <v>93107.08</v>
      </c>
      <c r="J5" s="12">
        <f>GETPIVOTDATA("Sum of Profit",Pivot_Tables!$A$2)</f>
        <v>11531.83</v>
      </c>
      <c r="R5" s="15" t="str" cm="1">
        <f t="array" ref="R5">INDEX(Pivot_Tables!$A$3:$A$6,MATCH(MAX(Pivot_Tables!$B$3:$B$6),Pivot_Tables!$B$3:$B$6,0))</f>
        <v>Grand Total</v>
      </c>
      <c r="S5" s="15"/>
    </row>
    <row r="6" ht="25" customHeight="1"/>
    <row r="7" ht="25" customHeight="1"/>
  </sheetData>
  <mergeCells count="4">
    <mergeCell ref="A1:L1"/>
    <mergeCell ref="A2:L2"/>
    <mergeCell ref="R4:S4"/>
    <mergeCell ref="R5:S5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37"/>
  <sheetViews>
    <sheetView zoomScale="60" zoomScaleNormal="60" workbookViewId="0">
      <selection activeCell="I10" sqref="I10"/>
    </sheetView>
  </sheetViews>
  <sheetFormatPr defaultColWidth="8.88888888888889" defaultRowHeight="14.4"/>
  <cols>
    <col min="1" max="1" width="12.8888888888889"/>
    <col min="2" max="3" width="12.6666666666667"/>
    <col min="4" max="5" width="12.7777777777778"/>
    <col min="6" max="6" width="14.1111111111111"/>
    <col min="7" max="8" width="12.6666666666667"/>
    <col min="9" max="9" width="16.4444444444444"/>
    <col min="10" max="14" width="20.5555555555556"/>
    <col min="15" max="124" width="12.7777777777778"/>
    <col min="125" max="125" width="11.4444444444444"/>
  </cols>
  <sheetData>
    <row r="2" spans="1:14">
      <c r="A2" t="s">
        <v>5</v>
      </c>
      <c r="B2" t="s">
        <v>6</v>
      </c>
      <c r="C2" t="s">
        <v>7</v>
      </c>
      <c r="F2" t="s">
        <v>8</v>
      </c>
      <c r="G2" t="s">
        <v>6</v>
      </c>
      <c r="H2" t="s">
        <v>7</v>
      </c>
      <c r="K2" t="s">
        <v>9</v>
      </c>
      <c r="L2" t="s">
        <v>6</v>
      </c>
      <c r="M2" t="s">
        <v>7</v>
      </c>
      <c r="N2" t="s">
        <v>10</v>
      </c>
    </row>
    <row r="3" spans="1:14">
      <c r="A3" t="s">
        <v>11</v>
      </c>
      <c r="B3">
        <v>31806.56</v>
      </c>
      <c r="C3">
        <v>4619.71</v>
      </c>
      <c r="F3" t="s">
        <v>12</v>
      </c>
      <c r="G3">
        <v>37098.22</v>
      </c>
      <c r="H3">
        <v>5529.67</v>
      </c>
      <c r="K3" t="s">
        <v>13</v>
      </c>
      <c r="L3">
        <v>24267.27</v>
      </c>
      <c r="M3">
        <v>3888.05</v>
      </c>
      <c r="N3">
        <v>29</v>
      </c>
    </row>
    <row r="4" spans="1:14">
      <c r="A4" t="s">
        <v>14</v>
      </c>
      <c r="B4">
        <v>35497.33</v>
      </c>
      <c r="C4">
        <v>4173.24</v>
      </c>
      <c r="F4" t="s">
        <v>15</v>
      </c>
      <c r="G4">
        <v>28668.23</v>
      </c>
      <c r="H4">
        <v>3210.72</v>
      </c>
      <c r="K4" t="s">
        <v>16</v>
      </c>
      <c r="L4">
        <v>33820.11</v>
      </c>
      <c r="M4">
        <v>4479.73</v>
      </c>
      <c r="N4">
        <v>45</v>
      </c>
    </row>
    <row r="5" spans="1:14">
      <c r="A5" t="s">
        <v>17</v>
      </c>
      <c r="B5">
        <v>25803.19</v>
      </c>
      <c r="C5">
        <v>2738.88</v>
      </c>
      <c r="F5" t="s">
        <v>18</v>
      </c>
      <c r="G5">
        <v>27340.63</v>
      </c>
      <c r="H5">
        <v>2791.44</v>
      </c>
      <c r="K5" t="s">
        <v>19</v>
      </c>
      <c r="L5">
        <v>35019.7</v>
      </c>
      <c r="M5">
        <v>3164.05</v>
      </c>
      <c r="N5">
        <v>37</v>
      </c>
    </row>
    <row r="6" spans="1:14">
      <c r="A6" t="s">
        <v>20</v>
      </c>
      <c r="B6">
        <v>93107.08</v>
      </c>
      <c r="C6">
        <v>11531.83</v>
      </c>
      <c r="F6" t="s">
        <v>20</v>
      </c>
      <c r="G6">
        <v>93107.08</v>
      </c>
      <c r="H6">
        <v>11531.83</v>
      </c>
      <c r="K6" t="s">
        <v>20</v>
      </c>
      <c r="L6">
        <v>93107.08</v>
      </c>
      <c r="M6">
        <v>11531.83</v>
      </c>
      <c r="N6">
        <v>111</v>
      </c>
    </row>
    <row r="24" spans="1:11">
      <c r="A24" t="s">
        <v>21</v>
      </c>
      <c r="B24" t="s">
        <v>6</v>
      </c>
      <c r="C24"/>
      <c r="I24" t="s">
        <v>22</v>
      </c>
      <c r="J24" t="s">
        <v>6</v>
      </c>
      <c r="K24" t="s">
        <v>10</v>
      </c>
    </row>
    <row r="25" spans="1:11">
      <c r="A25" t="s">
        <v>23</v>
      </c>
      <c r="B25">
        <v>4763.68</v>
      </c>
      <c r="C25"/>
      <c r="D25"/>
      <c r="E25"/>
      <c r="F25"/>
      <c r="G25"/>
      <c r="H25"/>
      <c r="I25" t="s">
        <v>24</v>
      </c>
      <c r="J25">
        <v>85948.19</v>
      </c>
      <c r="K25">
        <v>84</v>
      </c>
    </row>
    <row r="26" spans="1:11">
      <c r="A26" t="s">
        <v>25</v>
      </c>
      <c r="B26">
        <v>11156.51</v>
      </c>
      <c r="C26"/>
      <c r="D26"/>
      <c r="E26"/>
      <c r="F26"/>
      <c r="G26"/>
      <c r="H26"/>
      <c r="I26" t="s">
        <v>26</v>
      </c>
      <c r="J26">
        <v>7158.89</v>
      </c>
      <c r="K26">
        <v>27</v>
      </c>
    </row>
    <row r="27" spans="1:11">
      <c r="A27" t="s">
        <v>27</v>
      </c>
      <c r="B27">
        <v>6491.71</v>
      </c>
      <c r="C27"/>
      <c r="I27" t="s">
        <v>20</v>
      </c>
      <c r="J27">
        <v>93107.08</v>
      </c>
      <c r="K27">
        <v>111</v>
      </c>
    </row>
    <row r="28" spans="1:2">
      <c r="A28" t="s">
        <v>28</v>
      </c>
      <c r="B28">
        <v>8484.07</v>
      </c>
    </row>
    <row r="29" spans="1:2">
      <c r="A29" t="s">
        <v>29</v>
      </c>
      <c r="B29">
        <v>11896.93</v>
      </c>
    </row>
    <row r="30" spans="1:2">
      <c r="A30" t="s">
        <v>30</v>
      </c>
      <c r="B30">
        <v>6220.72</v>
      </c>
    </row>
    <row r="31" spans="1:2">
      <c r="A31" t="s">
        <v>31</v>
      </c>
      <c r="B31">
        <v>3010.57</v>
      </c>
    </row>
    <row r="32" spans="1:2">
      <c r="A32" t="s">
        <v>32</v>
      </c>
      <c r="B32">
        <v>7425.75</v>
      </c>
    </row>
    <row r="33" spans="1:2">
      <c r="A33" t="s">
        <v>33</v>
      </c>
      <c r="B33">
        <v>6631.08</v>
      </c>
    </row>
    <row r="34" spans="1:2">
      <c r="A34" t="s">
        <v>34</v>
      </c>
      <c r="B34">
        <v>8393.99</v>
      </c>
    </row>
    <row r="35" spans="1:2">
      <c r="A35" t="s">
        <v>35</v>
      </c>
      <c r="B35">
        <v>8220.58</v>
      </c>
    </row>
    <row r="36" spans="1:2">
      <c r="A36" t="s">
        <v>36</v>
      </c>
      <c r="B36">
        <v>10411.49</v>
      </c>
    </row>
    <row r="37" spans="1:2">
      <c r="A37" t="s">
        <v>20</v>
      </c>
      <c r="B37">
        <v>93107.08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5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4.4"/>
  <cols>
    <col min="1" max="5" width="14" customWidth="1"/>
    <col min="6" max="6" width="20" customWidth="1"/>
    <col min="7" max="15" width="14" customWidth="1"/>
    <col min="16" max="16" width="28" customWidth="1"/>
    <col min="17" max="24" width="14" customWidth="1"/>
  </cols>
  <sheetData>
    <row r="1" spans="1:24">
      <c r="A1" s="1" t="s">
        <v>37</v>
      </c>
      <c r="B1" s="1" t="s">
        <v>21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9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5</v>
      </c>
      <c r="M1" s="1" t="s">
        <v>46</v>
      </c>
      <c r="N1" s="1" t="s">
        <v>8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22</v>
      </c>
      <c r="W1" s="1" t="s">
        <v>54</v>
      </c>
      <c r="X1" s="1" t="s">
        <v>55</v>
      </c>
    </row>
    <row r="2" spans="1:24">
      <c r="A2" s="2" t="s">
        <v>56</v>
      </c>
      <c r="B2" s="3">
        <v>43793</v>
      </c>
      <c r="C2" s="3">
        <v>43794</v>
      </c>
      <c r="D2" s="2" t="s">
        <v>57</v>
      </c>
      <c r="E2" s="2" t="s">
        <v>58</v>
      </c>
      <c r="F2" s="2" t="s">
        <v>59</v>
      </c>
      <c r="G2" s="2" t="s">
        <v>13</v>
      </c>
      <c r="H2" s="2" t="s">
        <v>60</v>
      </c>
      <c r="I2" s="2" t="s">
        <v>61</v>
      </c>
      <c r="J2" s="2" t="s">
        <v>62</v>
      </c>
      <c r="K2" s="2">
        <v>10001</v>
      </c>
      <c r="L2" s="2" t="s">
        <v>17</v>
      </c>
      <c r="M2" s="2" t="s">
        <v>63</v>
      </c>
      <c r="N2" s="2" t="s">
        <v>15</v>
      </c>
      <c r="O2" s="2" t="s">
        <v>64</v>
      </c>
      <c r="P2" s="2" t="s">
        <v>65</v>
      </c>
      <c r="Q2" s="4">
        <v>893.93</v>
      </c>
      <c r="R2" s="5">
        <v>1</v>
      </c>
      <c r="S2" s="6">
        <v>0</v>
      </c>
      <c r="T2" s="4">
        <v>-51.7</v>
      </c>
      <c r="U2" s="7">
        <f t="shared" ref="U2:U65" si="0">IF(Q2=0,0,T2/Q2)</f>
        <v>-0.0578345060575213</v>
      </c>
      <c r="V2" s="2" t="str">
        <f t="shared" ref="V2:V65" si="1">IF(Q2&gt;500,"High Sales","Standard Sales")</f>
        <v>High Sales</v>
      </c>
      <c r="W2" t="str">
        <f t="shared" ref="W2:W65" si="2">TEXT(B2,"mmm")</f>
        <v>Nov</v>
      </c>
      <c r="X2" t="str">
        <f t="shared" ref="X2:X65" si="3">"Q"&amp;ROUNDUP(MONTH(B2)/3,0)</f>
        <v>Q4</v>
      </c>
    </row>
    <row r="3" spans="1:24">
      <c r="A3" s="2" t="s">
        <v>66</v>
      </c>
      <c r="B3" s="3">
        <v>43585</v>
      </c>
      <c r="C3" s="3">
        <v>43590</v>
      </c>
      <c r="D3" s="2" t="s">
        <v>57</v>
      </c>
      <c r="E3" s="2" t="s">
        <v>67</v>
      </c>
      <c r="F3" s="2" t="s">
        <v>68</v>
      </c>
      <c r="G3" s="2" t="s">
        <v>19</v>
      </c>
      <c r="H3" s="2" t="s">
        <v>60</v>
      </c>
      <c r="I3" s="2" t="s">
        <v>69</v>
      </c>
      <c r="J3" s="2" t="s">
        <v>70</v>
      </c>
      <c r="K3" s="2">
        <v>10001</v>
      </c>
      <c r="L3" s="2" t="s">
        <v>14</v>
      </c>
      <c r="M3" s="2" t="s">
        <v>71</v>
      </c>
      <c r="N3" s="2" t="s">
        <v>18</v>
      </c>
      <c r="O3" s="2" t="s">
        <v>72</v>
      </c>
      <c r="P3" s="2" t="s">
        <v>73</v>
      </c>
      <c r="Q3" s="4">
        <v>1143.03</v>
      </c>
      <c r="R3" s="5">
        <v>3</v>
      </c>
      <c r="S3" s="6">
        <v>0.3</v>
      </c>
      <c r="T3" s="4">
        <v>60.71</v>
      </c>
      <c r="U3" s="7">
        <f t="shared" si="0"/>
        <v>0.0531132166259853</v>
      </c>
      <c r="V3" s="2" t="str">
        <f t="shared" si="1"/>
        <v>High Sales</v>
      </c>
      <c r="W3" t="str">
        <f t="shared" si="2"/>
        <v>Apr</v>
      </c>
      <c r="X3" t="str">
        <f t="shared" si="3"/>
        <v>Q2</v>
      </c>
    </row>
    <row r="4" spans="1:24">
      <c r="A4" s="2" t="s">
        <v>74</v>
      </c>
      <c r="B4" s="3">
        <v>43545</v>
      </c>
      <c r="C4" s="3">
        <v>43547</v>
      </c>
      <c r="D4" s="2" t="s">
        <v>75</v>
      </c>
      <c r="E4" s="2" t="s">
        <v>76</v>
      </c>
      <c r="F4" s="2" t="s">
        <v>77</v>
      </c>
      <c r="G4" s="2" t="s">
        <v>16</v>
      </c>
      <c r="H4" s="2" t="s">
        <v>60</v>
      </c>
      <c r="I4" s="2" t="s">
        <v>78</v>
      </c>
      <c r="J4" s="2" t="s">
        <v>79</v>
      </c>
      <c r="K4" s="2">
        <v>10001</v>
      </c>
      <c r="L4" s="2" t="s">
        <v>11</v>
      </c>
      <c r="M4" s="2" t="s">
        <v>80</v>
      </c>
      <c r="N4" s="2" t="s">
        <v>12</v>
      </c>
      <c r="O4" s="2" t="s">
        <v>81</v>
      </c>
      <c r="P4" s="2" t="s">
        <v>82</v>
      </c>
      <c r="Q4" s="4">
        <v>1100</v>
      </c>
      <c r="R4" s="5">
        <v>9</v>
      </c>
      <c r="S4" s="6">
        <v>0</v>
      </c>
      <c r="T4" s="4">
        <v>371.69</v>
      </c>
      <c r="U4" s="7">
        <f t="shared" si="0"/>
        <v>0.3379</v>
      </c>
      <c r="V4" s="2" t="str">
        <f t="shared" si="1"/>
        <v>High Sales</v>
      </c>
      <c r="W4" t="str">
        <f t="shared" si="2"/>
        <v>Mar</v>
      </c>
      <c r="X4" t="str">
        <f t="shared" si="3"/>
        <v>Q1</v>
      </c>
    </row>
    <row r="5" spans="1:24">
      <c r="A5" s="2" t="s">
        <v>83</v>
      </c>
      <c r="B5" s="3">
        <v>43659</v>
      </c>
      <c r="C5" s="3">
        <v>43660</v>
      </c>
      <c r="D5" s="2" t="s">
        <v>75</v>
      </c>
      <c r="E5" s="2" t="s">
        <v>84</v>
      </c>
      <c r="F5" s="2" t="s">
        <v>85</v>
      </c>
      <c r="G5" s="2" t="s">
        <v>16</v>
      </c>
      <c r="H5" s="2" t="s">
        <v>60</v>
      </c>
      <c r="I5" s="2" t="s">
        <v>61</v>
      </c>
      <c r="J5" s="2" t="s">
        <v>62</v>
      </c>
      <c r="K5" s="2">
        <v>10001</v>
      </c>
      <c r="L5" s="2" t="s">
        <v>17</v>
      </c>
      <c r="M5" s="2" t="s">
        <v>86</v>
      </c>
      <c r="N5" s="2" t="s">
        <v>15</v>
      </c>
      <c r="O5" s="2" t="s">
        <v>64</v>
      </c>
      <c r="P5" s="2" t="s">
        <v>87</v>
      </c>
      <c r="Q5" s="4">
        <v>357.29</v>
      </c>
      <c r="R5" s="5">
        <v>5</v>
      </c>
      <c r="S5" s="6">
        <v>0</v>
      </c>
      <c r="T5" s="4">
        <v>101.79</v>
      </c>
      <c r="U5" s="7">
        <f t="shared" si="0"/>
        <v>0.284894623415153</v>
      </c>
      <c r="V5" s="2" t="str">
        <f t="shared" si="1"/>
        <v>Standard Sales</v>
      </c>
      <c r="W5" t="str">
        <f t="shared" si="2"/>
        <v>Jul</v>
      </c>
      <c r="X5" t="str">
        <f t="shared" si="3"/>
        <v>Q3</v>
      </c>
    </row>
    <row r="6" spans="1:24">
      <c r="A6" s="2" t="s">
        <v>88</v>
      </c>
      <c r="B6" s="3">
        <v>43517</v>
      </c>
      <c r="C6" s="3">
        <v>43521</v>
      </c>
      <c r="D6" s="2" t="s">
        <v>75</v>
      </c>
      <c r="E6" s="2" t="s">
        <v>89</v>
      </c>
      <c r="F6" s="2" t="s">
        <v>90</v>
      </c>
      <c r="G6" s="2" t="s">
        <v>16</v>
      </c>
      <c r="H6" s="2" t="s">
        <v>60</v>
      </c>
      <c r="I6" s="2" t="s">
        <v>61</v>
      </c>
      <c r="J6" s="2" t="s">
        <v>62</v>
      </c>
      <c r="K6" s="2">
        <v>10001</v>
      </c>
      <c r="L6" s="2" t="s">
        <v>17</v>
      </c>
      <c r="M6" s="2" t="s">
        <v>91</v>
      </c>
      <c r="N6" s="2" t="s">
        <v>12</v>
      </c>
      <c r="O6" s="2" t="s">
        <v>81</v>
      </c>
      <c r="P6" s="2" t="s">
        <v>92</v>
      </c>
      <c r="Q6" s="4">
        <v>415.13</v>
      </c>
      <c r="R6" s="5">
        <v>2</v>
      </c>
      <c r="S6" s="6">
        <v>0.1</v>
      </c>
      <c r="T6" s="4">
        <v>58.27</v>
      </c>
      <c r="U6" s="7">
        <f t="shared" si="0"/>
        <v>0.140365668585744</v>
      </c>
      <c r="V6" s="2" t="str">
        <f t="shared" si="1"/>
        <v>Standard Sales</v>
      </c>
      <c r="W6" t="str">
        <f t="shared" si="2"/>
        <v>Feb</v>
      </c>
      <c r="X6" t="str">
        <f t="shared" si="3"/>
        <v>Q1</v>
      </c>
    </row>
    <row r="7" spans="1:24">
      <c r="A7" s="2" t="s">
        <v>93</v>
      </c>
      <c r="B7" s="3">
        <v>43591</v>
      </c>
      <c r="C7" s="3">
        <v>43593</v>
      </c>
      <c r="D7" s="2" t="s">
        <v>94</v>
      </c>
      <c r="E7" s="2" t="s">
        <v>95</v>
      </c>
      <c r="F7" s="2" t="s">
        <v>96</v>
      </c>
      <c r="G7" s="2" t="s">
        <v>19</v>
      </c>
      <c r="H7" s="2" t="s">
        <v>60</v>
      </c>
      <c r="I7" s="2" t="s">
        <v>61</v>
      </c>
      <c r="J7" s="2" t="s">
        <v>62</v>
      </c>
      <c r="K7" s="2">
        <v>10001</v>
      </c>
      <c r="L7" s="2" t="s">
        <v>17</v>
      </c>
      <c r="M7" s="2" t="s">
        <v>97</v>
      </c>
      <c r="N7" s="2" t="s">
        <v>15</v>
      </c>
      <c r="O7" s="2" t="s">
        <v>98</v>
      </c>
      <c r="P7" s="2" t="s">
        <v>99</v>
      </c>
      <c r="Q7" s="4">
        <v>1236.27</v>
      </c>
      <c r="R7" s="5">
        <v>6</v>
      </c>
      <c r="S7" s="6">
        <v>0.3</v>
      </c>
      <c r="T7" s="4">
        <v>25.32</v>
      </c>
      <c r="U7" s="7">
        <f t="shared" si="0"/>
        <v>0.0204809628964547</v>
      </c>
      <c r="V7" s="2" t="str">
        <f t="shared" si="1"/>
        <v>High Sales</v>
      </c>
      <c r="W7" t="str">
        <f t="shared" si="2"/>
        <v>May</v>
      </c>
      <c r="X7" t="str">
        <f t="shared" si="3"/>
        <v>Q2</v>
      </c>
    </row>
    <row r="8" spans="1:24">
      <c r="A8" s="2" t="s">
        <v>100</v>
      </c>
      <c r="B8" s="3">
        <v>43574</v>
      </c>
      <c r="C8" s="3">
        <v>43579</v>
      </c>
      <c r="D8" s="2" t="s">
        <v>75</v>
      </c>
      <c r="E8" s="2" t="s">
        <v>101</v>
      </c>
      <c r="F8" s="2" t="s">
        <v>102</v>
      </c>
      <c r="G8" s="2" t="s">
        <v>16</v>
      </c>
      <c r="H8" s="2" t="s">
        <v>60</v>
      </c>
      <c r="I8" s="2" t="s">
        <v>69</v>
      </c>
      <c r="J8" s="2" t="s">
        <v>70</v>
      </c>
      <c r="K8" s="2">
        <v>10001</v>
      </c>
      <c r="L8" s="2" t="s">
        <v>14</v>
      </c>
      <c r="M8" s="2" t="s">
        <v>103</v>
      </c>
      <c r="N8" s="2" t="s">
        <v>15</v>
      </c>
      <c r="O8" s="2" t="s">
        <v>104</v>
      </c>
      <c r="P8" s="2" t="s">
        <v>105</v>
      </c>
      <c r="Q8" s="4">
        <v>226.65</v>
      </c>
      <c r="R8" s="5">
        <v>9</v>
      </c>
      <c r="S8" s="6">
        <v>0.2</v>
      </c>
      <c r="T8" s="4">
        <v>53.52</v>
      </c>
      <c r="U8" s="7">
        <f t="shared" si="0"/>
        <v>0.236135009927201</v>
      </c>
      <c r="V8" s="2" t="str">
        <f t="shared" si="1"/>
        <v>Standard Sales</v>
      </c>
      <c r="W8" t="str">
        <f t="shared" si="2"/>
        <v>Apr</v>
      </c>
      <c r="X8" t="str">
        <f t="shared" si="3"/>
        <v>Q2</v>
      </c>
    </row>
    <row r="9" spans="1:24">
      <c r="A9" s="2" t="s">
        <v>106</v>
      </c>
      <c r="B9" s="3">
        <v>43685</v>
      </c>
      <c r="C9" s="3">
        <v>43690</v>
      </c>
      <c r="D9" s="2" t="s">
        <v>94</v>
      </c>
      <c r="E9" s="2" t="s">
        <v>107</v>
      </c>
      <c r="F9" s="2" t="s">
        <v>108</v>
      </c>
      <c r="G9" s="2" t="s">
        <v>13</v>
      </c>
      <c r="H9" s="2" t="s">
        <v>60</v>
      </c>
      <c r="I9" s="2" t="s">
        <v>69</v>
      </c>
      <c r="J9" s="2" t="s">
        <v>70</v>
      </c>
      <c r="K9" s="2">
        <v>10001</v>
      </c>
      <c r="L9" s="2" t="s">
        <v>14</v>
      </c>
      <c r="M9" s="2" t="s">
        <v>109</v>
      </c>
      <c r="N9" s="2" t="s">
        <v>18</v>
      </c>
      <c r="O9" s="2" t="s">
        <v>110</v>
      </c>
      <c r="P9" s="2" t="s">
        <v>111</v>
      </c>
      <c r="Q9" s="4">
        <v>948.62</v>
      </c>
      <c r="R9" s="5">
        <v>7</v>
      </c>
      <c r="S9" s="6">
        <v>0</v>
      </c>
      <c r="T9" s="4">
        <v>69.39</v>
      </c>
      <c r="U9" s="7">
        <f t="shared" si="0"/>
        <v>0.073148362885033</v>
      </c>
      <c r="V9" s="2" t="str">
        <f t="shared" si="1"/>
        <v>High Sales</v>
      </c>
      <c r="W9" t="str">
        <f t="shared" si="2"/>
        <v>Aug</v>
      </c>
      <c r="X9" t="str">
        <f t="shared" si="3"/>
        <v>Q3</v>
      </c>
    </row>
    <row r="10" spans="1:24">
      <c r="A10" s="2" t="s">
        <v>112</v>
      </c>
      <c r="B10" s="3">
        <v>43771</v>
      </c>
      <c r="C10" s="3">
        <v>43775</v>
      </c>
      <c r="D10" s="2" t="s">
        <v>75</v>
      </c>
      <c r="E10" s="2" t="s">
        <v>113</v>
      </c>
      <c r="F10" s="2" t="s">
        <v>114</v>
      </c>
      <c r="G10" s="2" t="s">
        <v>19</v>
      </c>
      <c r="H10" s="2" t="s">
        <v>60</v>
      </c>
      <c r="I10" s="2" t="s">
        <v>78</v>
      </c>
      <c r="J10" s="2" t="s">
        <v>79</v>
      </c>
      <c r="K10" s="2">
        <v>10001</v>
      </c>
      <c r="L10" s="2" t="s">
        <v>11</v>
      </c>
      <c r="M10" s="2" t="s">
        <v>115</v>
      </c>
      <c r="N10" s="2" t="s">
        <v>15</v>
      </c>
      <c r="O10" s="2" t="s">
        <v>116</v>
      </c>
      <c r="P10" s="2" t="s">
        <v>117</v>
      </c>
      <c r="Q10" s="4">
        <v>968.62</v>
      </c>
      <c r="R10" s="5">
        <v>2</v>
      </c>
      <c r="S10" s="6">
        <v>0.2</v>
      </c>
      <c r="T10" s="4">
        <v>92.64</v>
      </c>
      <c r="U10" s="7">
        <f t="shared" si="0"/>
        <v>0.0956412215316636</v>
      </c>
      <c r="V10" s="2" t="str">
        <f t="shared" si="1"/>
        <v>High Sales</v>
      </c>
      <c r="W10" t="str">
        <f t="shared" si="2"/>
        <v>Nov</v>
      </c>
      <c r="X10" t="str">
        <f t="shared" si="3"/>
        <v>Q4</v>
      </c>
    </row>
    <row r="11" spans="1:24">
      <c r="A11" s="2" t="s">
        <v>118</v>
      </c>
      <c r="B11" s="3">
        <v>43698</v>
      </c>
      <c r="C11" s="3">
        <v>43699</v>
      </c>
      <c r="D11" s="2" t="s">
        <v>75</v>
      </c>
      <c r="E11" s="2" t="s">
        <v>119</v>
      </c>
      <c r="F11" s="2" t="s">
        <v>120</v>
      </c>
      <c r="G11" s="2" t="s">
        <v>13</v>
      </c>
      <c r="H11" s="2" t="s">
        <v>60</v>
      </c>
      <c r="I11" s="2" t="s">
        <v>78</v>
      </c>
      <c r="J11" s="2" t="s">
        <v>79</v>
      </c>
      <c r="K11" s="2">
        <v>10001</v>
      </c>
      <c r="L11" s="2" t="s">
        <v>11</v>
      </c>
      <c r="M11" s="2" t="s">
        <v>121</v>
      </c>
      <c r="N11" s="2" t="s">
        <v>15</v>
      </c>
      <c r="O11" s="2" t="s">
        <v>98</v>
      </c>
      <c r="P11" s="2" t="s">
        <v>122</v>
      </c>
      <c r="Q11" s="4">
        <v>314.39</v>
      </c>
      <c r="R11" s="5">
        <v>6</v>
      </c>
      <c r="S11" s="6">
        <v>0.1</v>
      </c>
      <c r="T11" s="4">
        <v>44.87</v>
      </c>
      <c r="U11" s="7">
        <f t="shared" si="0"/>
        <v>0.142720824453704</v>
      </c>
      <c r="V11" s="2" t="str">
        <f t="shared" si="1"/>
        <v>Standard Sales</v>
      </c>
      <c r="W11" t="str">
        <f t="shared" si="2"/>
        <v>Aug</v>
      </c>
      <c r="X11" t="str">
        <f t="shared" si="3"/>
        <v>Q3</v>
      </c>
    </row>
    <row r="12" spans="1:24">
      <c r="A12" s="2" t="s">
        <v>123</v>
      </c>
      <c r="B12" s="3">
        <v>43737</v>
      </c>
      <c r="C12" s="3">
        <v>43738</v>
      </c>
      <c r="D12" s="2" t="s">
        <v>75</v>
      </c>
      <c r="E12" s="2" t="s">
        <v>124</v>
      </c>
      <c r="F12" s="2" t="s">
        <v>125</v>
      </c>
      <c r="G12" s="2" t="s">
        <v>13</v>
      </c>
      <c r="H12" s="2" t="s">
        <v>60</v>
      </c>
      <c r="I12" s="2" t="s">
        <v>126</v>
      </c>
      <c r="J12" s="2" t="s">
        <v>127</v>
      </c>
      <c r="K12" s="2">
        <v>10001</v>
      </c>
      <c r="L12" s="2" t="s">
        <v>128</v>
      </c>
      <c r="M12" s="2" t="s">
        <v>129</v>
      </c>
      <c r="N12" s="2" t="s">
        <v>12</v>
      </c>
      <c r="O12" s="2" t="s">
        <v>130</v>
      </c>
      <c r="P12" s="2" t="s">
        <v>131</v>
      </c>
      <c r="Q12" s="4">
        <v>1319.45</v>
      </c>
      <c r="R12" s="5">
        <v>2</v>
      </c>
      <c r="S12" s="6">
        <v>0</v>
      </c>
      <c r="T12" s="4">
        <v>302.63</v>
      </c>
      <c r="U12" s="7">
        <f t="shared" si="0"/>
        <v>0.229360718481185</v>
      </c>
      <c r="V12" s="2" t="str">
        <f t="shared" si="1"/>
        <v>High Sales</v>
      </c>
      <c r="W12" t="str">
        <f t="shared" si="2"/>
        <v>Sep</v>
      </c>
      <c r="X12" t="str">
        <f t="shared" si="3"/>
        <v>Q3</v>
      </c>
    </row>
    <row r="13" spans="1:24">
      <c r="A13" s="2" t="s">
        <v>132</v>
      </c>
      <c r="B13" s="3">
        <v>43501</v>
      </c>
      <c r="C13" s="3">
        <v>43506</v>
      </c>
      <c r="D13" s="2" t="s">
        <v>133</v>
      </c>
      <c r="E13" s="2" t="s">
        <v>134</v>
      </c>
      <c r="F13" s="2" t="s">
        <v>135</v>
      </c>
      <c r="G13" s="2" t="s">
        <v>16</v>
      </c>
      <c r="H13" s="2" t="s">
        <v>60</v>
      </c>
      <c r="I13" s="2" t="s">
        <v>61</v>
      </c>
      <c r="J13" s="2" t="s">
        <v>62</v>
      </c>
      <c r="K13" s="2">
        <v>10001</v>
      </c>
      <c r="L13" s="2" t="s">
        <v>17</v>
      </c>
      <c r="M13" s="2" t="s">
        <v>136</v>
      </c>
      <c r="N13" s="2" t="s">
        <v>12</v>
      </c>
      <c r="O13" s="2" t="s">
        <v>137</v>
      </c>
      <c r="P13" s="2" t="s">
        <v>138</v>
      </c>
      <c r="Q13" s="4">
        <v>1394.79</v>
      </c>
      <c r="R13" s="5">
        <v>4</v>
      </c>
      <c r="S13" s="6">
        <v>0.2</v>
      </c>
      <c r="T13" s="4">
        <v>110.95</v>
      </c>
      <c r="U13" s="7">
        <f t="shared" si="0"/>
        <v>0.0795460248496189</v>
      </c>
      <c r="V13" s="2" t="str">
        <f t="shared" si="1"/>
        <v>High Sales</v>
      </c>
      <c r="W13" t="str">
        <f t="shared" si="2"/>
        <v>Feb</v>
      </c>
      <c r="X13" t="str">
        <f t="shared" si="3"/>
        <v>Q1</v>
      </c>
    </row>
    <row r="14" spans="1:24">
      <c r="A14" s="2" t="s">
        <v>139</v>
      </c>
      <c r="B14" s="3">
        <v>43809</v>
      </c>
      <c r="C14" s="3">
        <v>43812</v>
      </c>
      <c r="D14" s="2" t="s">
        <v>94</v>
      </c>
      <c r="E14" s="2" t="s">
        <v>140</v>
      </c>
      <c r="F14" s="2" t="s">
        <v>141</v>
      </c>
      <c r="G14" s="2" t="s">
        <v>13</v>
      </c>
      <c r="H14" s="2" t="s">
        <v>60</v>
      </c>
      <c r="I14" s="2" t="s">
        <v>61</v>
      </c>
      <c r="J14" s="2" t="s">
        <v>62</v>
      </c>
      <c r="K14" s="2">
        <v>10001</v>
      </c>
      <c r="L14" s="2" t="s">
        <v>17</v>
      </c>
      <c r="M14" s="2" t="s">
        <v>142</v>
      </c>
      <c r="N14" s="2" t="s">
        <v>18</v>
      </c>
      <c r="O14" s="2" t="s">
        <v>110</v>
      </c>
      <c r="P14" s="2" t="s">
        <v>143</v>
      </c>
      <c r="Q14" s="4">
        <v>890.7</v>
      </c>
      <c r="R14" s="5">
        <v>4</v>
      </c>
      <c r="S14" s="6">
        <v>0.1</v>
      </c>
      <c r="T14" s="4">
        <v>-86.19</v>
      </c>
      <c r="U14" s="7">
        <f t="shared" si="0"/>
        <v>-0.0967665880767935</v>
      </c>
      <c r="V14" s="2" t="str">
        <f t="shared" si="1"/>
        <v>High Sales</v>
      </c>
      <c r="W14" t="str">
        <f t="shared" si="2"/>
        <v>Dec</v>
      </c>
      <c r="X14" t="str">
        <f t="shared" si="3"/>
        <v>Q4</v>
      </c>
    </row>
    <row r="15" spans="1:24">
      <c r="A15" s="2" t="s">
        <v>144</v>
      </c>
      <c r="B15" s="3">
        <v>43789</v>
      </c>
      <c r="C15" s="3">
        <v>43790</v>
      </c>
      <c r="D15" s="2" t="s">
        <v>133</v>
      </c>
      <c r="E15" s="2" t="s">
        <v>145</v>
      </c>
      <c r="F15" s="2" t="s">
        <v>146</v>
      </c>
      <c r="G15" s="2" t="s">
        <v>16</v>
      </c>
      <c r="H15" s="2" t="s">
        <v>60</v>
      </c>
      <c r="I15" s="2" t="s">
        <v>78</v>
      </c>
      <c r="J15" s="2" t="s">
        <v>79</v>
      </c>
      <c r="K15" s="2">
        <v>10001</v>
      </c>
      <c r="L15" s="2" t="s">
        <v>11</v>
      </c>
      <c r="M15" s="2" t="s">
        <v>147</v>
      </c>
      <c r="N15" s="2" t="s">
        <v>15</v>
      </c>
      <c r="O15" s="2" t="s">
        <v>148</v>
      </c>
      <c r="P15" s="2" t="s">
        <v>149</v>
      </c>
      <c r="Q15" s="4">
        <v>738.41</v>
      </c>
      <c r="R15" s="5">
        <v>9</v>
      </c>
      <c r="S15" s="6">
        <v>0.1</v>
      </c>
      <c r="T15" s="4">
        <v>166.52</v>
      </c>
      <c r="U15" s="7">
        <f t="shared" si="0"/>
        <v>0.225511572161807</v>
      </c>
      <c r="V15" s="2" t="str">
        <f t="shared" si="1"/>
        <v>High Sales</v>
      </c>
      <c r="W15" t="str">
        <f t="shared" si="2"/>
        <v>Nov</v>
      </c>
      <c r="X15" t="str">
        <f t="shared" si="3"/>
        <v>Q4</v>
      </c>
    </row>
    <row r="16" spans="1:24">
      <c r="A16" s="2" t="s">
        <v>150</v>
      </c>
      <c r="B16" s="3">
        <v>43758</v>
      </c>
      <c r="C16" s="3">
        <v>43763</v>
      </c>
      <c r="D16" s="2" t="s">
        <v>94</v>
      </c>
      <c r="E16" s="2" t="s">
        <v>151</v>
      </c>
      <c r="F16" s="2" t="s">
        <v>152</v>
      </c>
      <c r="G16" s="2" t="s">
        <v>16</v>
      </c>
      <c r="H16" s="2" t="s">
        <v>60</v>
      </c>
      <c r="I16" s="2" t="s">
        <v>61</v>
      </c>
      <c r="J16" s="2" t="s">
        <v>62</v>
      </c>
      <c r="K16" s="2">
        <v>10001</v>
      </c>
      <c r="L16" s="2" t="s">
        <v>17</v>
      </c>
      <c r="M16" s="2" t="s">
        <v>153</v>
      </c>
      <c r="N16" s="2" t="s">
        <v>18</v>
      </c>
      <c r="O16" s="2" t="s">
        <v>110</v>
      </c>
      <c r="P16" s="2" t="s">
        <v>154</v>
      </c>
      <c r="Q16" s="4">
        <v>646.9</v>
      </c>
      <c r="R16" s="5">
        <v>8</v>
      </c>
      <c r="S16" s="6">
        <v>0</v>
      </c>
      <c r="T16" s="4">
        <v>131.33</v>
      </c>
      <c r="U16" s="7">
        <f t="shared" si="0"/>
        <v>0.20301437625599</v>
      </c>
      <c r="V16" s="2" t="str">
        <f t="shared" si="1"/>
        <v>High Sales</v>
      </c>
      <c r="W16" t="str">
        <f t="shared" si="2"/>
        <v>Oct</v>
      </c>
      <c r="X16" t="str">
        <f t="shared" si="3"/>
        <v>Q4</v>
      </c>
    </row>
    <row r="17" spans="1:24">
      <c r="A17" s="2" t="s">
        <v>155</v>
      </c>
      <c r="B17" s="3">
        <v>43796</v>
      </c>
      <c r="C17" s="3">
        <v>43797</v>
      </c>
      <c r="D17" s="2" t="s">
        <v>57</v>
      </c>
      <c r="E17" s="2" t="s">
        <v>156</v>
      </c>
      <c r="F17" s="2" t="s">
        <v>157</v>
      </c>
      <c r="G17" s="2" t="s">
        <v>16</v>
      </c>
      <c r="H17" s="2" t="s">
        <v>60</v>
      </c>
      <c r="I17" s="2" t="s">
        <v>78</v>
      </c>
      <c r="J17" s="2" t="s">
        <v>79</v>
      </c>
      <c r="K17" s="2">
        <v>10001</v>
      </c>
      <c r="L17" s="2" t="s">
        <v>11</v>
      </c>
      <c r="M17" s="2" t="s">
        <v>158</v>
      </c>
      <c r="N17" s="2" t="s">
        <v>18</v>
      </c>
      <c r="O17" s="2" t="s">
        <v>159</v>
      </c>
      <c r="P17" s="2" t="s">
        <v>160</v>
      </c>
      <c r="Q17" s="4">
        <v>683.95</v>
      </c>
      <c r="R17" s="5">
        <v>7</v>
      </c>
      <c r="S17" s="6">
        <v>0.1</v>
      </c>
      <c r="T17" s="4">
        <v>17.33</v>
      </c>
      <c r="U17" s="7">
        <f t="shared" si="0"/>
        <v>0.0253381095109292</v>
      </c>
      <c r="V17" s="2" t="str">
        <f t="shared" si="1"/>
        <v>High Sales</v>
      </c>
      <c r="W17" t="str">
        <f t="shared" si="2"/>
        <v>Nov</v>
      </c>
      <c r="X17" t="str">
        <f t="shared" si="3"/>
        <v>Q4</v>
      </c>
    </row>
    <row r="18" spans="1:24">
      <c r="A18" s="2" t="s">
        <v>161</v>
      </c>
      <c r="B18" s="3">
        <v>43593</v>
      </c>
      <c r="C18" s="3">
        <v>43594</v>
      </c>
      <c r="D18" s="2" t="s">
        <v>94</v>
      </c>
      <c r="E18" s="2" t="s">
        <v>162</v>
      </c>
      <c r="F18" s="2" t="s">
        <v>163</v>
      </c>
      <c r="G18" s="2" t="s">
        <v>13</v>
      </c>
      <c r="H18" s="2" t="s">
        <v>60</v>
      </c>
      <c r="I18" s="2" t="s">
        <v>78</v>
      </c>
      <c r="J18" s="2" t="s">
        <v>79</v>
      </c>
      <c r="K18" s="2">
        <v>10001</v>
      </c>
      <c r="L18" s="2" t="s">
        <v>11</v>
      </c>
      <c r="M18" s="2" t="s">
        <v>164</v>
      </c>
      <c r="N18" s="2" t="s">
        <v>18</v>
      </c>
      <c r="O18" s="2" t="s">
        <v>159</v>
      </c>
      <c r="P18" s="2" t="s">
        <v>165</v>
      </c>
      <c r="Q18" s="4">
        <v>738.75</v>
      </c>
      <c r="R18" s="5">
        <v>4</v>
      </c>
      <c r="S18" s="6">
        <v>0.3</v>
      </c>
      <c r="T18" s="4">
        <v>226.13</v>
      </c>
      <c r="U18" s="7">
        <f t="shared" si="0"/>
        <v>0.306098138747885</v>
      </c>
      <c r="V18" s="2" t="str">
        <f t="shared" si="1"/>
        <v>High Sales</v>
      </c>
      <c r="W18" t="str">
        <f t="shared" si="2"/>
        <v>May</v>
      </c>
      <c r="X18" t="str">
        <f t="shared" si="3"/>
        <v>Q2</v>
      </c>
    </row>
    <row r="19" spans="1:24">
      <c r="A19" s="2" t="s">
        <v>166</v>
      </c>
      <c r="B19" s="3">
        <v>43550</v>
      </c>
      <c r="C19" s="3">
        <v>43554</v>
      </c>
      <c r="D19" s="2" t="s">
        <v>57</v>
      </c>
      <c r="E19" s="2" t="s">
        <v>167</v>
      </c>
      <c r="F19" s="2" t="s">
        <v>168</v>
      </c>
      <c r="G19" s="2" t="s">
        <v>16</v>
      </c>
      <c r="H19" s="2" t="s">
        <v>60</v>
      </c>
      <c r="I19" s="2" t="s">
        <v>126</v>
      </c>
      <c r="J19" s="2" t="s">
        <v>127</v>
      </c>
      <c r="K19" s="2">
        <v>10001</v>
      </c>
      <c r="L19" s="2" t="s">
        <v>128</v>
      </c>
      <c r="M19" s="2" t="s">
        <v>169</v>
      </c>
      <c r="N19" s="2" t="s">
        <v>12</v>
      </c>
      <c r="O19" s="2" t="s">
        <v>137</v>
      </c>
      <c r="P19" s="2" t="s">
        <v>170</v>
      </c>
      <c r="Q19" s="4">
        <v>301.05</v>
      </c>
      <c r="R19" s="5">
        <v>4</v>
      </c>
      <c r="S19" s="6">
        <v>0</v>
      </c>
      <c r="T19" s="4">
        <v>48.36</v>
      </c>
      <c r="U19" s="7">
        <f t="shared" si="0"/>
        <v>0.160637767812656</v>
      </c>
      <c r="V19" s="2" t="str">
        <f t="shared" si="1"/>
        <v>Standard Sales</v>
      </c>
      <c r="W19" t="str">
        <f t="shared" si="2"/>
        <v>Mar</v>
      </c>
      <c r="X19" t="str">
        <f t="shared" si="3"/>
        <v>Q1</v>
      </c>
    </row>
    <row r="20" spans="1:24">
      <c r="A20" s="2" t="s">
        <v>171</v>
      </c>
      <c r="B20" s="3">
        <v>43743</v>
      </c>
      <c r="C20" s="3">
        <v>43744</v>
      </c>
      <c r="D20" s="2" t="s">
        <v>75</v>
      </c>
      <c r="E20" s="2" t="s">
        <v>172</v>
      </c>
      <c r="F20" s="2" t="s">
        <v>173</v>
      </c>
      <c r="G20" s="2" t="s">
        <v>19</v>
      </c>
      <c r="H20" s="2" t="s">
        <v>60</v>
      </c>
      <c r="I20" s="2" t="s">
        <v>69</v>
      </c>
      <c r="J20" s="2" t="s">
        <v>70</v>
      </c>
      <c r="K20" s="2">
        <v>10001</v>
      </c>
      <c r="L20" s="2" t="s">
        <v>14</v>
      </c>
      <c r="M20" s="2" t="s">
        <v>174</v>
      </c>
      <c r="N20" s="2" t="s">
        <v>15</v>
      </c>
      <c r="O20" s="2" t="s">
        <v>116</v>
      </c>
      <c r="P20" s="2" t="s">
        <v>175</v>
      </c>
      <c r="Q20" s="4">
        <v>1441.95</v>
      </c>
      <c r="R20" s="5">
        <v>2</v>
      </c>
      <c r="S20" s="6">
        <v>0.1</v>
      </c>
      <c r="T20" s="4">
        <v>-99.73</v>
      </c>
      <c r="U20" s="7">
        <f t="shared" si="0"/>
        <v>-0.0691632858282187</v>
      </c>
      <c r="V20" s="2" t="str">
        <f t="shared" si="1"/>
        <v>High Sales</v>
      </c>
      <c r="W20" t="str">
        <f t="shared" si="2"/>
        <v>Oct</v>
      </c>
      <c r="X20" t="str">
        <f t="shared" si="3"/>
        <v>Q4</v>
      </c>
    </row>
    <row r="21" spans="1:24">
      <c r="A21" s="2" t="s">
        <v>176</v>
      </c>
      <c r="B21" s="3">
        <v>43500</v>
      </c>
      <c r="C21" s="3">
        <v>43502</v>
      </c>
      <c r="D21" s="2" t="s">
        <v>94</v>
      </c>
      <c r="E21" s="2" t="s">
        <v>177</v>
      </c>
      <c r="F21" s="2" t="s">
        <v>178</v>
      </c>
      <c r="G21" s="2" t="s">
        <v>13</v>
      </c>
      <c r="H21" s="2" t="s">
        <v>60</v>
      </c>
      <c r="I21" s="2" t="s">
        <v>78</v>
      </c>
      <c r="J21" s="2" t="s">
        <v>79</v>
      </c>
      <c r="K21" s="2">
        <v>10001</v>
      </c>
      <c r="L21" s="2" t="s">
        <v>11</v>
      </c>
      <c r="M21" s="2" t="s">
        <v>179</v>
      </c>
      <c r="N21" s="2" t="s">
        <v>15</v>
      </c>
      <c r="O21" s="2" t="s">
        <v>64</v>
      </c>
      <c r="P21" s="2" t="s">
        <v>87</v>
      </c>
      <c r="Q21" s="4">
        <v>883.83</v>
      </c>
      <c r="R21" s="5">
        <v>9</v>
      </c>
      <c r="S21" s="6">
        <v>0.2</v>
      </c>
      <c r="T21" s="4">
        <v>283.37</v>
      </c>
      <c r="U21" s="7">
        <f t="shared" si="0"/>
        <v>0.320615955557064</v>
      </c>
      <c r="V21" s="2" t="str">
        <f t="shared" si="1"/>
        <v>High Sales</v>
      </c>
      <c r="W21" t="str">
        <f t="shared" si="2"/>
        <v>Feb</v>
      </c>
      <c r="X21" t="str">
        <f t="shared" si="3"/>
        <v>Q1</v>
      </c>
    </row>
    <row r="22" spans="1:24">
      <c r="A22" s="2" t="s">
        <v>180</v>
      </c>
      <c r="B22" s="3">
        <v>43570</v>
      </c>
      <c r="C22" s="3">
        <v>43573</v>
      </c>
      <c r="D22" s="2" t="s">
        <v>133</v>
      </c>
      <c r="E22" s="2" t="s">
        <v>181</v>
      </c>
      <c r="F22" s="2" t="s">
        <v>182</v>
      </c>
      <c r="G22" s="2" t="s">
        <v>13</v>
      </c>
      <c r="H22" s="2" t="s">
        <v>60</v>
      </c>
      <c r="I22" s="2" t="s">
        <v>126</v>
      </c>
      <c r="J22" s="2" t="s">
        <v>127</v>
      </c>
      <c r="K22" s="2">
        <v>10001</v>
      </c>
      <c r="L22" s="2" t="s">
        <v>128</v>
      </c>
      <c r="M22" s="2" t="s">
        <v>183</v>
      </c>
      <c r="N22" s="2" t="s">
        <v>12</v>
      </c>
      <c r="O22" s="2" t="s">
        <v>81</v>
      </c>
      <c r="P22" s="2" t="s">
        <v>184</v>
      </c>
      <c r="Q22" s="4">
        <v>698.26</v>
      </c>
      <c r="R22" s="5">
        <v>10</v>
      </c>
      <c r="S22" s="6">
        <v>0</v>
      </c>
      <c r="T22" s="4">
        <v>-46.81</v>
      </c>
      <c r="U22" s="7">
        <f t="shared" si="0"/>
        <v>-0.0670380660498955</v>
      </c>
      <c r="V22" s="2" t="str">
        <f t="shared" si="1"/>
        <v>High Sales</v>
      </c>
      <c r="W22" t="str">
        <f t="shared" si="2"/>
        <v>Apr</v>
      </c>
      <c r="X22" t="str">
        <f t="shared" si="3"/>
        <v>Q2</v>
      </c>
    </row>
    <row r="23" spans="1:24">
      <c r="A23" s="2" t="s">
        <v>185</v>
      </c>
      <c r="B23" s="3">
        <v>43575</v>
      </c>
      <c r="C23" s="3">
        <v>43580</v>
      </c>
      <c r="D23" s="2" t="s">
        <v>75</v>
      </c>
      <c r="E23" s="2" t="s">
        <v>186</v>
      </c>
      <c r="F23" s="2" t="s">
        <v>187</v>
      </c>
      <c r="G23" s="2" t="s">
        <v>13</v>
      </c>
      <c r="H23" s="2" t="s">
        <v>60</v>
      </c>
      <c r="I23" s="2" t="s">
        <v>61</v>
      </c>
      <c r="J23" s="2" t="s">
        <v>62</v>
      </c>
      <c r="K23" s="2">
        <v>10001</v>
      </c>
      <c r="L23" s="2" t="s">
        <v>17</v>
      </c>
      <c r="M23" s="2" t="s">
        <v>188</v>
      </c>
      <c r="N23" s="2" t="s">
        <v>12</v>
      </c>
      <c r="O23" s="2" t="s">
        <v>81</v>
      </c>
      <c r="P23" s="2" t="s">
        <v>189</v>
      </c>
      <c r="Q23" s="4">
        <v>1253.94</v>
      </c>
      <c r="R23" s="5">
        <v>5</v>
      </c>
      <c r="S23" s="6">
        <v>0</v>
      </c>
      <c r="T23" s="4">
        <v>251.46</v>
      </c>
      <c r="U23" s="7">
        <f t="shared" si="0"/>
        <v>0.20053591080913</v>
      </c>
      <c r="V23" s="2" t="str">
        <f t="shared" si="1"/>
        <v>High Sales</v>
      </c>
      <c r="W23" t="str">
        <f t="shared" si="2"/>
        <v>Apr</v>
      </c>
      <c r="X23" t="str">
        <f t="shared" si="3"/>
        <v>Q2</v>
      </c>
    </row>
    <row r="24" spans="1:24">
      <c r="A24" s="2" t="s">
        <v>190</v>
      </c>
      <c r="B24" s="3">
        <v>43749</v>
      </c>
      <c r="C24" s="3">
        <v>43752</v>
      </c>
      <c r="D24" s="2" t="s">
        <v>57</v>
      </c>
      <c r="E24" s="2" t="s">
        <v>191</v>
      </c>
      <c r="F24" s="2" t="s">
        <v>168</v>
      </c>
      <c r="G24" s="2" t="s">
        <v>13</v>
      </c>
      <c r="H24" s="2" t="s">
        <v>60</v>
      </c>
      <c r="I24" s="2" t="s">
        <v>78</v>
      </c>
      <c r="J24" s="2" t="s">
        <v>79</v>
      </c>
      <c r="K24" s="2">
        <v>10001</v>
      </c>
      <c r="L24" s="2" t="s">
        <v>11</v>
      </c>
      <c r="M24" s="2" t="s">
        <v>192</v>
      </c>
      <c r="N24" s="2" t="s">
        <v>15</v>
      </c>
      <c r="O24" s="2" t="s">
        <v>116</v>
      </c>
      <c r="P24" s="2" t="s">
        <v>193</v>
      </c>
      <c r="Q24" s="4">
        <v>437</v>
      </c>
      <c r="R24" s="5">
        <v>4</v>
      </c>
      <c r="S24" s="6">
        <v>0.2</v>
      </c>
      <c r="T24" s="4">
        <v>-3.66</v>
      </c>
      <c r="U24" s="7">
        <f t="shared" si="0"/>
        <v>-0.00837528604118993</v>
      </c>
      <c r="V24" s="2" t="str">
        <f t="shared" si="1"/>
        <v>Standard Sales</v>
      </c>
      <c r="W24" t="str">
        <f t="shared" si="2"/>
        <v>Oct</v>
      </c>
      <c r="X24" t="str">
        <f t="shared" si="3"/>
        <v>Q4</v>
      </c>
    </row>
    <row r="25" spans="1:24">
      <c r="A25" s="2" t="s">
        <v>194</v>
      </c>
      <c r="B25" s="3">
        <v>43790</v>
      </c>
      <c r="C25" s="3">
        <v>43793</v>
      </c>
      <c r="D25" s="2" t="s">
        <v>94</v>
      </c>
      <c r="E25" s="2" t="s">
        <v>195</v>
      </c>
      <c r="F25" s="2" t="s">
        <v>173</v>
      </c>
      <c r="G25" s="2" t="s">
        <v>13</v>
      </c>
      <c r="H25" s="2" t="s">
        <v>60</v>
      </c>
      <c r="I25" s="2" t="s">
        <v>69</v>
      </c>
      <c r="J25" s="2" t="s">
        <v>70</v>
      </c>
      <c r="K25" s="2">
        <v>10001</v>
      </c>
      <c r="L25" s="2" t="s">
        <v>14</v>
      </c>
      <c r="M25" s="2" t="s">
        <v>196</v>
      </c>
      <c r="N25" s="2" t="s">
        <v>12</v>
      </c>
      <c r="O25" s="2" t="s">
        <v>130</v>
      </c>
      <c r="P25" s="2" t="s">
        <v>197</v>
      </c>
      <c r="Q25" s="4">
        <v>1161.26</v>
      </c>
      <c r="R25" s="5">
        <v>5</v>
      </c>
      <c r="S25" s="6">
        <v>0.1</v>
      </c>
      <c r="T25" s="4">
        <v>271.22</v>
      </c>
      <c r="U25" s="7">
        <f t="shared" si="0"/>
        <v>0.233556653979298</v>
      </c>
      <c r="V25" s="2" t="str">
        <f t="shared" si="1"/>
        <v>High Sales</v>
      </c>
      <c r="W25" t="str">
        <f t="shared" si="2"/>
        <v>Nov</v>
      </c>
      <c r="X25" t="str">
        <f t="shared" si="3"/>
        <v>Q4</v>
      </c>
    </row>
    <row r="26" spans="1:24">
      <c r="A26" s="2" t="s">
        <v>198</v>
      </c>
      <c r="B26" s="3">
        <v>43748</v>
      </c>
      <c r="C26" s="3">
        <v>43752</v>
      </c>
      <c r="D26" s="2" t="s">
        <v>57</v>
      </c>
      <c r="E26" s="2" t="s">
        <v>199</v>
      </c>
      <c r="F26" s="2" t="s">
        <v>200</v>
      </c>
      <c r="G26" s="2" t="s">
        <v>19</v>
      </c>
      <c r="H26" s="2" t="s">
        <v>60</v>
      </c>
      <c r="I26" s="2" t="s">
        <v>61</v>
      </c>
      <c r="J26" s="2" t="s">
        <v>62</v>
      </c>
      <c r="K26" s="2">
        <v>10001</v>
      </c>
      <c r="L26" s="2" t="s">
        <v>17</v>
      </c>
      <c r="M26" s="2" t="s">
        <v>201</v>
      </c>
      <c r="N26" s="2" t="s">
        <v>15</v>
      </c>
      <c r="O26" s="2" t="s">
        <v>64</v>
      </c>
      <c r="P26" s="2" t="s">
        <v>202</v>
      </c>
      <c r="Q26" s="4">
        <v>837.74</v>
      </c>
      <c r="R26" s="5">
        <v>7</v>
      </c>
      <c r="S26" s="6">
        <v>0.1</v>
      </c>
      <c r="T26" s="4">
        <v>-68.01</v>
      </c>
      <c r="U26" s="7">
        <f t="shared" si="0"/>
        <v>-0.0811827058514575</v>
      </c>
      <c r="V26" s="2" t="str">
        <f t="shared" si="1"/>
        <v>High Sales</v>
      </c>
      <c r="W26" t="str">
        <f t="shared" si="2"/>
        <v>Oct</v>
      </c>
      <c r="X26" t="str">
        <f t="shared" si="3"/>
        <v>Q4</v>
      </c>
    </row>
    <row r="27" spans="1:24">
      <c r="A27" s="2" t="s">
        <v>203</v>
      </c>
      <c r="B27" s="3">
        <v>43652</v>
      </c>
      <c r="C27" s="3">
        <v>43653</v>
      </c>
      <c r="D27" s="2" t="s">
        <v>75</v>
      </c>
      <c r="E27" s="2" t="s">
        <v>204</v>
      </c>
      <c r="F27" s="2" t="s">
        <v>205</v>
      </c>
      <c r="G27" s="2" t="s">
        <v>13</v>
      </c>
      <c r="H27" s="2" t="s">
        <v>60</v>
      </c>
      <c r="I27" s="2" t="s">
        <v>78</v>
      </c>
      <c r="J27" s="2" t="s">
        <v>79</v>
      </c>
      <c r="K27" s="2">
        <v>10001</v>
      </c>
      <c r="L27" s="2" t="s">
        <v>11</v>
      </c>
      <c r="M27" s="2" t="s">
        <v>206</v>
      </c>
      <c r="N27" s="2" t="s">
        <v>12</v>
      </c>
      <c r="O27" s="2" t="s">
        <v>137</v>
      </c>
      <c r="P27" s="2" t="s">
        <v>207</v>
      </c>
      <c r="Q27" s="4">
        <v>1129.23</v>
      </c>
      <c r="R27" s="5">
        <v>4</v>
      </c>
      <c r="S27" s="6">
        <v>0.1</v>
      </c>
      <c r="T27" s="4">
        <v>383.14</v>
      </c>
      <c r="U27" s="7">
        <f t="shared" si="0"/>
        <v>0.339293146657457</v>
      </c>
      <c r="V27" s="2" t="str">
        <f t="shared" si="1"/>
        <v>High Sales</v>
      </c>
      <c r="W27" t="str">
        <f t="shared" si="2"/>
        <v>Jul</v>
      </c>
      <c r="X27" t="str">
        <f t="shared" si="3"/>
        <v>Q3</v>
      </c>
    </row>
    <row r="28" spans="1:24">
      <c r="A28" s="2" t="s">
        <v>208</v>
      </c>
      <c r="B28" s="3">
        <v>43556</v>
      </c>
      <c r="C28" s="3">
        <v>43560</v>
      </c>
      <c r="D28" s="2" t="s">
        <v>57</v>
      </c>
      <c r="E28" s="2" t="s">
        <v>209</v>
      </c>
      <c r="F28" s="2" t="s">
        <v>210</v>
      </c>
      <c r="G28" s="2" t="s">
        <v>16</v>
      </c>
      <c r="H28" s="2" t="s">
        <v>60</v>
      </c>
      <c r="I28" s="2" t="s">
        <v>69</v>
      </c>
      <c r="J28" s="2" t="s">
        <v>70</v>
      </c>
      <c r="K28" s="2">
        <v>10001</v>
      </c>
      <c r="L28" s="2" t="s">
        <v>14</v>
      </c>
      <c r="M28" s="2" t="s">
        <v>211</v>
      </c>
      <c r="N28" s="2" t="s">
        <v>15</v>
      </c>
      <c r="O28" s="2" t="s">
        <v>148</v>
      </c>
      <c r="P28" s="2" t="s">
        <v>212</v>
      </c>
      <c r="Q28" s="4">
        <v>1185.31</v>
      </c>
      <c r="R28" s="5">
        <v>2</v>
      </c>
      <c r="S28" s="6">
        <v>0.3</v>
      </c>
      <c r="T28" s="4">
        <v>346.67</v>
      </c>
      <c r="U28" s="7">
        <f t="shared" si="0"/>
        <v>0.292472011541285</v>
      </c>
      <c r="V28" s="2" t="str">
        <f t="shared" si="1"/>
        <v>High Sales</v>
      </c>
      <c r="W28" t="str">
        <f t="shared" si="2"/>
        <v>Apr</v>
      </c>
      <c r="X28" t="str">
        <f t="shared" si="3"/>
        <v>Q2</v>
      </c>
    </row>
    <row r="29" spans="1:24">
      <c r="A29" s="2" t="s">
        <v>213</v>
      </c>
      <c r="B29" s="3">
        <v>43706</v>
      </c>
      <c r="C29" s="3">
        <v>43708</v>
      </c>
      <c r="D29" s="2" t="s">
        <v>133</v>
      </c>
      <c r="E29" s="2" t="s">
        <v>214</v>
      </c>
      <c r="F29" s="2" t="s">
        <v>187</v>
      </c>
      <c r="G29" s="2" t="s">
        <v>16</v>
      </c>
      <c r="H29" s="2" t="s">
        <v>60</v>
      </c>
      <c r="I29" s="2" t="s">
        <v>61</v>
      </c>
      <c r="J29" s="2" t="s">
        <v>62</v>
      </c>
      <c r="K29" s="2">
        <v>10001</v>
      </c>
      <c r="L29" s="2" t="s">
        <v>17</v>
      </c>
      <c r="M29" s="2" t="s">
        <v>215</v>
      </c>
      <c r="N29" s="2" t="s">
        <v>18</v>
      </c>
      <c r="O29" s="2" t="s">
        <v>110</v>
      </c>
      <c r="P29" s="2" t="s">
        <v>216</v>
      </c>
      <c r="Q29" s="4">
        <v>505.83</v>
      </c>
      <c r="R29" s="5">
        <v>2</v>
      </c>
      <c r="S29" s="6">
        <v>0.2</v>
      </c>
      <c r="T29" s="4">
        <v>29.35</v>
      </c>
      <c r="U29" s="7">
        <f t="shared" si="0"/>
        <v>0.0580234466124983</v>
      </c>
      <c r="V29" s="2" t="str">
        <f t="shared" si="1"/>
        <v>High Sales</v>
      </c>
      <c r="W29" t="str">
        <f t="shared" si="2"/>
        <v>Aug</v>
      </c>
      <c r="X29" t="str">
        <f t="shared" si="3"/>
        <v>Q3</v>
      </c>
    </row>
    <row r="30" spans="1:24">
      <c r="A30" s="2" t="s">
        <v>217</v>
      </c>
      <c r="B30" s="3">
        <v>43726</v>
      </c>
      <c r="C30" s="3">
        <v>43730</v>
      </c>
      <c r="D30" s="2" t="s">
        <v>75</v>
      </c>
      <c r="E30" s="2" t="s">
        <v>218</v>
      </c>
      <c r="F30" s="2" t="s">
        <v>219</v>
      </c>
      <c r="G30" s="2" t="s">
        <v>16</v>
      </c>
      <c r="H30" s="2" t="s">
        <v>60</v>
      </c>
      <c r="I30" s="2" t="s">
        <v>61</v>
      </c>
      <c r="J30" s="2" t="s">
        <v>62</v>
      </c>
      <c r="K30" s="2">
        <v>10001</v>
      </c>
      <c r="L30" s="2" t="s">
        <v>17</v>
      </c>
      <c r="M30" s="2" t="s">
        <v>220</v>
      </c>
      <c r="N30" s="2" t="s">
        <v>15</v>
      </c>
      <c r="O30" s="2" t="s">
        <v>98</v>
      </c>
      <c r="P30" s="2" t="s">
        <v>221</v>
      </c>
      <c r="Q30" s="4">
        <v>902.93</v>
      </c>
      <c r="R30" s="5">
        <v>6</v>
      </c>
      <c r="S30" s="6">
        <v>0.2</v>
      </c>
      <c r="T30" s="4">
        <v>87.02</v>
      </c>
      <c r="U30" s="7">
        <f t="shared" si="0"/>
        <v>0.0963751342850498</v>
      </c>
      <c r="V30" s="2" t="str">
        <f t="shared" si="1"/>
        <v>High Sales</v>
      </c>
      <c r="W30" t="str">
        <f t="shared" si="2"/>
        <v>Sep</v>
      </c>
      <c r="X30" t="str">
        <f t="shared" si="3"/>
        <v>Q3</v>
      </c>
    </row>
    <row r="31" spans="1:24">
      <c r="A31" s="2" t="s">
        <v>222</v>
      </c>
      <c r="B31" s="3">
        <v>43727</v>
      </c>
      <c r="C31" s="3">
        <v>43728</v>
      </c>
      <c r="D31" s="2" t="s">
        <v>94</v>
      </c>
      <c r="E31" s="2" t="s">
        <v>223</v>
      </c>
      <c r="F31" s="2" t="s">
        <v>68</v>
      </c>
      <c r="G31" s="2" t="s">
        <v>16</v>
      </c>
      <c r="H31" s="2" t="s">
        <v>60</v>
      </c>
      <c r="I31" s="2" t="s">
        <v>78</v>
      </c>
      <c r="J31" s="2" t="s">
        <v>79</v>
      </c>
      <c r="K31" s="2">
        <v>10001</v>
      </c>
      <c r="L31" s="2" t="s">
        <v>11</v>
      </c>
      <c r="M31" s="2" t="s">
        <v>224</v>
      </c>
      <c r="N31" s="2" t="s">
        <v>15</v>
      </c>
      <c r="O31" s="2" t="s">
        <v>104</v>
      </c>
      <c r="P31" s="2" t="s">
        <v>225</v>
      </c>
      <c r="Q31" s="4">
        <v>1389.85</v>
      </c>
      <c r="R31" s="5">
        <v>9</v>
      </c>
      <c r="S31" s="6">
        <v>0.1</v>
      </c>
      <c r="T31" s="4">
        <v>88.81</v>
      </c>
      <c r="U31" s="7">
        <f t="shared" si="0"/>
        <v>0.0638989819045221</v>
      </c>
      <c r="V31" s="2" t="str">
        <f t="shared" si="1"/>
        <v>High Sales</v>
      </c>
      <c r="W31" t="str">
        <f t="shared" si="2"/>
        <v>Sep</v>
      </c>
      <c r="X31" t="str">
        <f t="shared" si="3"/>
        <v>Q3</v>
      </c>
    </row>
    <row r="32" spans="1:24">
      <c r="A32" s="2" t="s">
        <v>226</v>
      </c>
      <c r="B32" s="3">
        <v>43501</v>
      </c>
      <c r="C32" s="3">
        <v>43504</v>
      </c>
      <c r="D32" s="2" t="s">
        <v>75</v>
      </c>
      <c r="E32" s="2" t="s">
        <v>227</v>
      </c>
      <c r="F32" s="2" t="s">
        <v>219</v>
      </c>
      <c r="G32" s="2" t="s">
        <v>19</v>
      </c>
      <c r="H32" s="2" t="s">
        <v>60</v>
      </c>
      <c r="I32" s="2" t="s">
        <v>126</v>
      </c>
      <c r="J32" s="2" t="s">
        <v>127</v>
      </c>
      <c r="K32" s="2">
        <v>10001</v>
      </c>
      <c r="L32" s="2" t="s">
        <v>128</v>
      </c>
      <c r="M32" s="2" t="s">
        <v>228</v>
      </c>
      <c r="N32" s="2" t="s">
        <v>15</v>
      </c>
      <c r="O32" s="2" t="s">
        <v>98</v>
      </c>
      <c r="P32" s="2" t="s">
        <v>229</v>
      </c>
      <c r="Q32" s="4">
        <v>615.55</v>
      </c>
      <c r="R32" s="5">
        <v>5</v>
      </c>
      <c r="S32" s="6">
        <v>0.1</v>
      </c>
      <c r="T32" s="4">
        <v>-8.42</v>
      </c>
      <c r="U32" s="7">
        <f t="shared" si="0"/>
        <v>-0.0136788238160994</v>
      </c>
      <c r="V32" s="2" t="str">
        <f t="shared" si="1"/>
        <v>High Sales</v>
      </c>
      <c r="W32" t="str">
        <f t="shared" si="2"/>
        <v>Feb</v>
      </c>
      <c r="X32" t="str">
        <f t="shared" si="3"/>
        <v>Q1</v>
      </c>
    </row>
    <row r="33" spans="1:24">
      <c r="A33" s="2" t="s">
        <v>230</v>
      </c>
      <c r="B33" s="3">
        <v>43806</v>
      </c>
      <c r="C33" s="3">
        <v>43810</v>
      </c>
      <c r="D33" s="2" t="s">
        <v>133</v>
      </c>
      <c r="E33" s="2" t="s">
        <v>231</v>
      </c>
      <c r="F33" s="2" t="s">
        <v>178</v>
      </c>
      <c r="G33" s="2" t="s">
        <v>16</v>
      </c>
      <c r="H33" s="2" t="s">
        <v>60</v>
      </c>
      <c r="I33" s="2" t="s">
        <v>69</v>
      </c>
      <c r="J33" s="2" t="s">
        <v>70</v>
      </c>
      <c r="K33" s="2">
        <v>10001</v>
      </c>
      <c r="L33" s="2" t="s">
        <v>14</v>
      </c>
      <c r="M33" s="2" t="s">
        <v>232</v>
      </c>
      <c r="N33" s="2" t="s">
        <v>15</v>
      </c>
      <c r="O33" s="2" t="s">
        <v>64</v>
      </c>
      <c r="P33" s="2" t="s">
        <v>233</v>
      </c>
      <c r="Q33" s="4">
        <v>331.07</v>
      </c>
      <c r="R33" s="5">
        <v>10</v>
      </c>
      <c r="S33" s="6">
        <v>0.2</v>
      </c>
      <c r="T33" s="4">
        <v>36.17</v>
      </c>
      <c r="U33" s="7">
        <f t="shared" si="0"/>
        <v>0.109251819856828</v>
      </c>
      <c r="V33" s="2" t="str">
        <f t="shared" si="1"/>
        <v>Standard Sales</v>
      </c>
      <c r="W33" t="str">
        <f t="shared" si="2"/>
        <v>Dec</v>
      </c>
      <c r="X33" t="str">
        <f t="shared" si="3"/>
        <v>Q4</v>
      </c>
    </row>
    <row r="34" spans="1:24">
      <c r="A34" s="2" t="s">
        <v>234</v>
      </c>
      <c r="B34" s="3">
        <v>43692</v>
      </c>
      <c r="C34" s="3">
        <v>43694</v>
      </c>
      <c r="D34" s="2" t="s">
        <v>94</v>
      </c>
      <c r="E34" s="2" t="s">
        <v>235</v>
      </c>
      <c r="F34" s="2" t="s">
        <v>135</v>
      </c>
      <c r="G34" s="2" t="s">
        <v>13</v>
      </c>
      <c r="H34" s="2" t="s">
        <v>60</v>
      </c>
      <c r="I34" s="2" t="s">
        <v>126</v>
      </c>
      <c r="J34" s="2" t="s">
        <v>127</v>
      </c>
      <c r="K34" s="2">
        <v>10001</v>
      </c>
      <c r="L34" s="2" t="s">
        <v>128</v>
      </c>
      <c r="M34" s="2" t="s">
        <v>236</v>
      </c>
      <c r="N34" s="2" t="s">
        <v>15</v>
      </c>
      <c r="O34" s="2" t="s">
        <v>116</v>
      </c>
      <c r="P34" s="2" t="s">
        <v>237</v>
      </c>
      <c r="Q34" s="4">
        <v>1231.27</v>
      </c>
      <c r="R34" s="5">
        <v>4</v>
      </c>
      <c r="S34" s="6">
        <v>0.2</v>
      </c>
      <c r="T34" s="4">
        <v>1.34</v>
      </c>
      <c r="U34" s="7">
        <f t="shared" si="0"/>
        <v>0.00108830719501003</v>
      </c>
      <c r="V34" s="2" t="str">
        <f t="shared" si="1"/>
        <v>High Sales</v>
      </c>
      <c r="W34" t="str">
        <f t="shared" si="2"/>
        <v>Aug</v>
      </c>
      <c r="X34" t="str">
        <f t="shared" si="3"/>
        <v>Q3</v>
      </c>
    </row>
    <row r="35" spans="1:24">
      <c r="A35" s="2" t="s">
        <v>238</v>
      </c>
      <c r="B35" s="3">
        <v>43567</v>
      </c>
      <c r="C35" s="3">
        <v>43569</v>
      </c>
      <c r="D35" s="2" t="s">
        <v>57</v>
      </c>
      <c r="E35" s="2" t="s">
        <v>239</v>
      </c>
      <c r="F35" s="2" t="s">
        <v>59</v>
      </c>
      <c r="G35" s="2" t="s">
        <v>16</v>
      </c>
      <c r="H35" s="2" t="s">
        <v>60</v>
      </c>
      <c r="I35" s="2" t="s">
        <v>78</v>
      </c>
      <c r="J35" s="2" t="s">
        <v>79</v>
      </c>
      <c r="K35" s="2">
        <v>10001</v>
      </c>
      <c r="L35" s="2" t="s">
        <v>11</v>
      </c>
      <c r="M35" s="2" t="s">
        <v>240</v>
      </c>
      <c r="N35" s="2" t="s">
        <v>12</v>
      </c>
      <c r="O35" s="2" t="s">
        <v>81</v>
      </c>
      <c r="P35" s="2" t="s">
        <v>241</v>
      </c>
      <c r="Q35" s="4">
        <v>1050.6</v>
      </c>
      <c r="R35" s="5">
        <v>8</v>
      </c>
      <c r="S35" s="6">
        <v>0.3</v>
      </c>
      <c r="T35" s="4">
        <v>10.29</v>
      </c>
      <c r="U35" s="7">
        <f t="shared" si="0"/>
        <v>0.00979440319817247</v>
      </c>
      <c r="V35" s="2" t="str">
        <f t="shared" si="1"/>
        <v>High Sales</v>
      </c>
      <c r="W35" t="str">
        <f t="shared" si="2"/>
        <v>Apr</v>
      </c>
      <c r="X35" t="str">
        <f t="shared" si="3"/>
        <v>Q2</v>
      </c>
    </row>
    <row r="36" spans="1:24">
      <c r="A36" s="2" t="s">
        <v>242</v>
      </c>
      <c r="B36" s="3">
        <v>43801</v>
      </c>
      <c r="C36" s="3">
        <v>43802</v>
      </c>
      <c r="D36" s="2" t="s">
        <v>57</v>
      </c>
      <c r="E36" s="2" t="s">
        <v>243</v>
      </c>
      <c r="F36" s="2" t="s">
        <v>108</v>
      </c>
      <c r="G36" s="2" t="s">
        <v>13</v>
      </c>
      <c r="H36" s="2" t="s">
        <v>60</v>
      </c>
      <c r="I36" s="2" t="s">
        <v>69</v>
      </c>
      <c r="J36" s="2" t="s">
        <v>70</v>
      </c>
      <c r="K36" s="2">
        <v>10001</v>
      </c>
      <c r="L36" s="2" t="s">
        <v>14</v>
      </c>
      <c r="M36" s="2" t="s">
        <v>244</v>
      </c>
      <c r="N36" s="2" t="s">
        <v>18</v>
      </c>
      <c r="O36" s="2" t="s">
        <v>159</v>
      </c>
      <c r="P36" s="2" t="s">
        <v>245</v>
      </c>
      <c r="Q36" s="4">
        <v>217.34</v>
      </c>
      <c r="R36" s="5">
        <v>8</v>
      </c>
      <c r="S36" s="6">
        <v>0.2</v>
      </c>
      <c r="T36" s="4">
        <v>71.18</v>
      </c>
      <c r="U36" s="7">
        <f t="shared" si="0"/>
        <v>0.327505291248735</v>
      </c>
      <c r="V36" s="2" t="str">
        <f t="shared" si="1"/>
        <v>Standard Sales</v>
      </c>
      <c r="W36" t="str">
        <f t="shared" si="2"/>
        <v>Dec</v>
      </c>
      <c r="X36" t="str">
        <f t="shared" si="3"/>
        <v>Q4</v>
      </c>
    </row>
    <row r="37" spans="1:24">
      <c r="A37" s="2" t="s">
        <v>246</v>
      </c>
      <c r="B37" s="3">
        <v>43692</v>
      </c>
      <c r="C37" s="3">
        <v>43697</v>
      </c>
      <c r="D37" s="2" t="s">
        <v>94</v>
      </c>
      <c r="E37" s="2" t="s">
        <v>247</v>
      </c>
      <c r="F37" s="2" t="s">
        <v>141</v>
      </c>
      <c r="G37" s="2" t="s">
        <v>13</v>
      </c>
      <c r="H37" s="2" t="s">
        <v>60</v>
      </c>
      <c r="I37" s="2" t="s">
        <v>69</v>
      </c>
      <c r="J37" s="2" t="s">
        <v>70</v>
      </c>
      <c r="K37" s="2">
        <v>10001</v>
      </c>
      <c r="L37" s="2" t="s">
        <v>14</v>
      </c>
      <c r="M37" s="2" t="s">
        <v>248</v>
      </c>
      <c r="N37" s="2" t="s">
        <v>12</v>
      </c>
      <c r="O37" s="2" t="s">
        <v>81</v>
      </c>
      <c r="P37" s="2" t="s">
        <v>249</v>
      </c>
      <c r="Q37" s="4">
        <v>430.42</v>
      </c>
      <c r="R37" s="5">
        <v>9</v>
      </c>
      <c r="S37" s="6">
        <v>0.3</v>
      </c>
      <c r="T37" s="4">
        <v>78.35</v>
      </c>
      <c r="U37" s="7">
        <f t="shared" si="0"/>
        <v>0.182031504112262</v>
      </c>
      <c r="V37" s="2" t="str">
        <f t="shared" si="1"/>
        <v>Standard Sales</v>
      </c>
      <c r="W37" t="str">
        <f t="shared" si="2"/>
        <v>Aug</v>
      </c>
      <c r="X37" t="str">
        <f t="shared" si="3"/>
        <v>Q3</v>
      </c>
    </row>
    <row r="38" spans="1:24">
      <c r="A38" s="2" t="s">
        <v>250</v>
      </c>
      <c r="B38" s="3">
        <v>43606</v>
      </c>
      <c r="C38" s="3">
        <v>43610</v>
      </c>
      <c r="D38" s="2" t="s">
        <v>57</v>
      </c>
      <c r="E38" s="2" t="s">
        <v>251</v>
      </c>
      <c r="F38" s="2" t="s">
        <v>59</v>
      </c>
      <c r="G38" s="2" t="s">
        <v>16</v>
      </c>
      <c r="H38" s="2" t="s">
        <v>60</v>
      </c>
      <c r="I38" s="2" t="s">
        <v>126</v>
      </c>
      <c r="J38" s="2" t="s">
        <v>127</v>
      </c>
      <c r="K38" s="2">
        <v>10001</v>
      </c>
      <c r="L38" s="2" t="s">
        <v>128</v>
      </c>
      <c r="M38" s="2" t="s">
        <v>252</v>
      </c>
      <c r="N38" s="2" t="s">
        <v>12</v>
      </c>
      <c r="O38" s="2" t="s">
        <v>137</v>
      </c>
      <c r="P38" s="2" t="s">
        <v>253</v>
      </c>
      <c r="Q38" s="4">
        <v>243.23</v>
      </c>
      <c r="R38" s="5">
        <v>7</v>
      </c>
      <c r="S38" s="6">
        <v>0.1</v>
      </c>
      <c r="T38" s="4">
        <v>53</v>
      </c>
      <c r="U38" s="7">
        <f t="shared" si="0"/>
        <v>0.217900752374296</v>
      </c>
      <c r="V38" s="2" t="str">
        <f t="shared" si="1"/>
        <v>Standard Sales</v>
      </c>
      <c r="W38" t="str">
        <f t="shared" si="2"/>
        <v>May</v>
      </c>
      <c r="X38" t="str">
        <f t="shared" si="3"/>
        <v>Q2</v>
      </c>
    </row>
    <row r="39" spans="1:24">
      <c r="A39" s="2" t="s">
        <v>254</v>
      </c>
      <c r="B39" s="3">
        <v>43498</v>
      </c>
      <c r="C39" s="3">
        <v>43502</v>
      </c>
      <c r="D39" s="2" t="s">
        <v>94</v>
      </c>
      <c r="E39" s="2" t="s">
        <v>255</v>
      </c>
      <c r="F39" s="2" t="s">
        <v>256</v>
      </c>
      <c r="G39" s="2" t="s">
        <v>16</v>
      </c>
      <c r="H39" s="2" t="s">
        <v>60</v>
      </c>
      <c r="I39" s="2" t="s">
        <v>69</v>
      </c>
      <c r="J39" s="2" t="s">
        <v>70</v>
      </c>
      <c r="K39" s="2">
        <v>10001</v>
      </c>
      <c r="L39" s="2" t="s">
        <v>14</v>
      </c>
      <c r="M39" s="2" t="s">
        <v>257</v>
      </c>
      <c r="N39" s="2" t="s">
        <v>18</v>
      </c>
      <c r="O39" s="2" t="s">
        <v>159</v>
      </c>
      <c r="P39" s="2" t="s">
        <v>258</v>
      </c>
      <c r="Q39" s="4">
        <v>1359.16</v>
      </c>
      <c r="R39" s="5">
        <v>10</v>
      </c>
      <c r="S39" s="6">
        <v>0</v>
      </c>
      <c r="T39" s="4">
        <v>388.08</v>
      </c>
      <c r="U39" s="7">
        <f t="shared" si="0"/>
        <v>0.285529297507284</v>
      </c>
      <c r="V39" s="2" t="str">
        <f t="shared" si="1"/>
        <v>High Sales</v>
      </c>
      <c r="W39" t="str">
        <f t="shared" si="2"/>
        <v>Feb</v>
      </c>
      <c r="X39" t="str">
        <f t="shared" si="3"/>
        <v>Q1</v>
      </c>
    </row>
    <row r="40" spans="1:24">
      <c r="A40" s="2" t="s">
        <v>259</v>
      </c>
      <c r="B40" s="3">
        <v>43760</v>
      </c>
      <c r="C40" s="3">
        <v>43764</v>
      </c>
      <c r="D40" s="2" t="s">
        <v>94</v>
      </c>
      <c r="E40" s="2" t="s">
        <v>260</v>
      </c>
      <c r="F40" s="2" t="s">
        <v>187</v>
      </c>
      <c r="G40" s="2" t="s">
        <v>16</v>
      </c>
      <c r="H40" s="2" t="s">
        <v>60</v>
      </c>
      <c r="I40" s="2" t="s">
        <v>69</v>
      </c>
      <c r="J40" s="2" t="s">
        <v>70</v>
      </c>
      <c r="K40" s="2">
        <v>10001</v>
      </c>
      <c r="L40" s="2" t="s">
        <v>14</v>
      </c>
      <c r="M40" s="2" t="s">
        <v>261</v>
      </c>
      <c r="N40" s="2" t="s">
        <v>12</v>
      </c>
      <c r="O40" s="2" t="s">
        <v>137</v>
      </c>
      <c r="P40" s="2" t="s">
        <v>262</v>
      </c>
      <c r="Q40" s="4">
        <v>1348.76</v>
      </c>
      <c r="R40" s="5">
        <v>8</v>
      </c>
      <c r="S40" s="6">
        <v>0.1</v>
      </c>
      <c r="T40" s="4">
        <v>30.78</v>
      </c>
      <c r="U40" s="7">
        <f t="shared" si="0"/>
        <v>0.0228209614757259</v>
      </c>
      <c r="V40" s="2" t="str">
        <f t="shared" si="1"/>
        <v>High Sales</v>
      </c>
      <c r="W40" t="str">
        <f t="shared" si="2"/>
        <v>Oct</v>
      </c>
      <c r="X40" t="str">
        <f t="shared" si="3"/>
        <v>Q4</v>
      </c>
    </row>
    <row r="41" spans="1:24">
      <c r="A41" s="2" t="s">
        <v>263</v>
      </c>
      <c r="B41" s="3">
        <v>43714</v>
      </c>
      <c r="C41" s="3">
        <v>43715</v>
      </c>
      <c r="D41" s="2" t="s">
        <v>94</v>
      </c>
      <c r="E41" s="2" t="s">
        <v>264</v>
      </c>
      <c r="F41" s="2" t="s">
        <v>135</v>
      </c>
      <c r="G41" s="2" t="s">
        <v>19</v>
      </c>
      <c r="H41" s="2" t="s">
        <v>60</v>
      </c>
      <c r="I41" s="2" t="s">
        <v>69</v>
      </c>
      <c r="J41" s="2" t="s">
        <v>70</v>
      </c>
      <c r="K41" s="2">
        <v>10001</v>
      </c>
      <c r="L41" s="2" t="s">
        <v>14</v>
      </c>
      <c r="M41" s="2" t="s">
        <v>265</v>
      </c>
      <c r="N41" s="2" t="s">
        <v>15</v>
      </c>
      <c r="O41" s="2" t="s">
        <v>148</v>
      </c>
      <c r="P41" s="2" t="s">
        <v>266</v>
      </c>
      <c r="Q41" s="4">
        <v>1471.47</v>
      </c>
      <c r="R41" s="5">
        <v>9</v>
      </c>
      <c r="S41" s="6">
        <v>0</v>
      </c>
      <c r="T41" s="4">
        <v>453.39</v>
      </c>
      <c r="U41" s="7">
        <f t="shared" si="0"/>
        <v>0.308120450977594</v>
      </c>
      <c r="V41" s="2" t="str">
        <f t="shared" si="1"/>
        <v>High Sales</v>
      </c>
      <c r="W41" t="str">
        <f t="shared" si="2"/>
        <v>Sep</v>
      </c>
      <c r="X41" t="str">
        <f t="shared" si="3"/>
        <v>Q3</v>
      </c>
    </row>
    <row r="42" spans="1:24">
      <c r="A42" s="2" t="s">
        <v>267</v>
      </c>
      <c r="B42" s="3">
        <v>43769</v>
      </c>
      <c r="C42" s="3">
        <v>43774</v>
      </c>
      <c r="D42" s="2" t="s">
        <v>57</v>
      </c>
      <c r="E42" s="2" t="s">
        <v>268</v>
      </c>
      <c r="F42" s="2" t="s">
        <v>102</v>
      </c>
      <c r="G42" s="2" t="s">
        <v>16</v>
      </c>
      <c r="H42" s="2" t="s">
        <v>60</v>
      </c>
      <c r="I42" s="2" t="s">
        <v>61</v>
      </c>
      <c r="J42" s="2" t="s">
        <v>62</v>
      </c>
      <c r="K42" s="2">
        <v>10001</v>
      </c>
      <c r="L42" s="2" t="s">
        <v>17</v>
      </c>
      <c r="M42" s="2" t="s">
        <v>269</v>
      </c>
      <c r="N42" s="2" t="s">
        <v>12</v>
      </c>
      <c r="O42" s="2" t="s">
        <v>130</v>
      </c>
      <c r="P42" s="2" t="s">
        <v>270</v>
      </c>
      <c r="Q42" s="4">
        <v>581.07</v>
      </c>
      <c r="R42" s="5">
        <v>4</v>
      </c>
      <c r="S42" s="6">
        <v>0.3</v>
      </c>
      <c r="T42" s="4">
        <v>27.36</v>
      </c>
      <c r="U42" s="7">
        <f t="shared" si="0"/>
        <v>0.0470855490732614</v>
      </c>
      <c r="V42" s="2" t="str">
        <f t="shared" si="1"/>
        <v>High Sales</v>
      </c>
      <c r="W42" t="str">
        <f t="shared" si="2"/>
        <v>Oct</v>
      </c>
      <c r="X42" t="str">
        <f t="shared" si="3"/>
        <v>Q4</v>
      </c>
    </row>
    <row r="43" spans="1:24">
      <c r="A43" s="2" t="s">
        <v>271</v>
      </c>
      <c r="B43" s="3">
        <v>43660</v>
      </c>
      <c r="C43" s="3">
        <v>43663</v>
      </c>
      <c r="D43" s="2" t="s">
        <v>94</v>
      </c>
      <c r="E43" s="2" t="s">
        <v>272</v>
      </c>
      <c r="F43" s="2" t="s">
        <v>77</v>
      </c>
      <c r="G43" s="2" t="s">
        <v>16</v>
      </c>
      <c r="H43" s="2" t="s">
        <v>60</v>
      </c>
      <c r="I43" s="2" t="s">
        <v>78</v>
      </c>
      <c r="J43" s="2" t="s">
        <v>79</v>
      </c>
      <c r="K43" s="2">
        <v>10001</v>
      </c>
      <c r="L43" s="2" t="s">
        <v>11</v>
      </c>
      <c r="M43" s="2" t="s">
        <v>273</v>
      </c>
      <c r="N43" s="2" t="s">
        <v>15</v>
      </c>
      <c r="O43" s="2" t="s">
        <v>116</v>
      </c>
      <c r="P43" s="2" t="s">
        <v>274</v>
      </c>
      <c r="Q43" s="4">
        <v>351.85</v>
      </c>
      <c r="R43" s="5">
        <v>2</v>
      </c>
      <c r="S43" s="6">
        <v>0</v>
      </c>
      <c r="T43" s="4">
        <v>84.23</v>
      </c>
      <c r="U43" s="7">
        <f t="shared" si="0"/>
        <v>0.239391786272559</v>
      </c>
      <c r="V43" s="2" t="str">
        <f t="shared" si="1"/>
        <v>Standard Sales</v>
      </c>
      <c r="W43" t="str">
        <f t="shared" si="2"/>
        <v>Jul</v>
      </c>
      <c r="X43" t="str">
        <f t="shared" si="3"/>
        <v>Q3</v>
      </c>
    </row>
    <row r="44" spans="1:24">
      <c r="A44" s="2" t="s">
        <v>275</v>
      </c>
      <c r="B44" s="3">
        <v>43592</v>
      </c>
      <c r="C44" s="3">
        <v>43594</v>
      </c>
      <c r="D44" s="2" t="s">
        <v>57</v>
      </c>
      <c r="E44" s="2" t="s">
        <v>276</v>
      </c>
      <c r="F44" s="2" t="s">
        <v>277</v>
      </c>
      <c r="G44" s="2" t="s">
        <v>13</v>
      </c>
      <c r="H44" s="2" t="s">
        <v>60</v>
      </c>
      <c r="I44" s="2" t="s">
        <v>61</v>
      </c>
      <c r="J44" s="2" t="s">
        <v>62</v>
      </c>
      <c r="K44" s="2">
        <v>10001</v>
      </c>
      <c r="L44" s="2" t="s">
        <v>17</v>
      </c>
      <c r="M44" s="2" t="s">
        <v>278</v>
      </c>
      <c r="N44" s="2" t="s">
        <v>12</v>
      </c>
      <c r="O44" s="2" t="s">
        <v>137</v>
      </c>
      <c r="P44" s="2" t="s">
        <v>279</v>
      </c>
      <c r="Q44" s="4">
        <v>1422.68</v>
      </c>
      <c r="R44" s="5">
        <v>8</v>
      </c>
      <c r="S44" s="6">
        <v>0.2</v>
      </c>
      <c r="T44" s="4">
        <v>348.7</v>
      </c>
      <c r="U44" s="7">
        <f t="shared" si="0"/>
        <v>0.24510079568139</v>
      </c>
      <c r="V44" s="2" t="str">
        <f t="shared" si="1"/>
        <v>High Sales</v>
      </c>
      <c r="W44" t="str">
        <f t="shared" si="2"/>
        <v>May</v>
      </c>
      <c r="X44" t="str">
        <f t="shared" si="3"/>
        <v>Q2</v>
      </c>
    </row>
    <row r="45" spans="1:24">
      <c r="A45" s="2" t="s">
        <v>280</v>
      </c>
      <c r="B45" s="3">
        <v>43551</v>
      </c>
      <c r="C45" s="3">
        <v>43556</v>
      </c>
      <c r="D45" s="2" t="s">
        <v>57</v>
      </c>
      <c r="E45" s="2" t="s">
        <v>281</v>
      </c>
      <c r="F45" s="2" t="s">
        <v>282</v>
      </c>
      <c r="G45" s="2" t="s">
        <v>13</v>
      </c>
      <c r="H45" s="2" t="s">
        <v>60</v>
      </c>
      <c r="I45" s="2" t="s">
        <v>78</v>
      </c>
      <c r="J45" s="2" t="s">
        <v>79</v>
      </c>
      <c r="K45" s="2">
        <v>10001</v>
      </c>
      <c r="L45" s="2" t="s">
        <v>11</v>
      </c>
      <c r="M45" s="2" t="s">
        <v>283</v>
      </c>
      <c r="N45" s="2" t="s">
        <v>12</v>
      </c>
      <c r="O45" s="2" t="s">
        <v>137</v>
      </c>
      <c r="P45" s="2" t="s">
        <v>284</v>
      </c>
      <c r="Q45" s="4">
        <v>1413.38</v>
      </c>
      <c r="R45" s="5">
        <v>4</v>
      </c>
      <c r="S45" s="6">
        <v>0</v>
      </c>
      <c r="T45" s="4">
        <v>235.25</v>
      </c>
      <c r="U45" s="7">
        <f t="shared" si="0"/>
        <v>0.166444975873438</v>
      </c>
      <c r="V45" s="2" t="str">
        <f t="shared" si="1"/>
        <v>High Sales</v>
      </c>
      <c r="W45" t="str">
        <f t="shared" si="2"/>
        <v>Mar</v>
      </c>
      <c r="X45" t="str">
        <f t="shared" si="3"/>
        <v>Q1</v>
      </c>
    </row>
    <row r="46" spans="1:24">
      <c r="A46" s="2" t="s">
        <v>285</v>
      </c>
      <c r="B46" s="3">
        <v>43787</v>
      </c>
      <c r="C46" s="3">
        <v>43789</v>
      </c>
      <c r="D46" s="2" t="s">
        <v>57</v>
      </c>
      <c r="E46" s="2" t="s">
        <v>286</v>
      </c>
      <c r="F46" s="2" t="s">
        <v>205</v>
      </c>
      <c r="G46" s="2" t="s">
        <v>19</v>
      </c>
      <c r="H46" s="2" t="s">
        <v>60</v>
      </c>
      <c r="I46" s="2" t="s">
        <v>78</v>
      </c>
      <c r="J46" s="2" t="s">
        <v>79</v>
      </c>
      <c r="K46" s="2">
        <v>10001</v>
      </c>
      <c r="L46" s="2" t="s">
        <v>11</v>
      </c>
      <c r="M46" s="2" t="s">
        <v>287</v>
      </c>
      <c r="N46" s="2" t="s">
        <v>15</v>
      </c>
      <c r="O46" s="2" t="s">
        <v>64</v>
      </c>
      <c r="P46" s="2" t="s">
        <v>288</v>
      </c>
      <c r="Q46" s="4">
        <v>654</v>
      </c>
      <c r="R46" s="5">
        <v>6</v>
      </c>
      <c r="S46" s="6">
        <v>0</v>
      </c>
      <c r="T46" s="4">
        <v>83.5</v>
      </c>
      <c r="U46" s="7">
        <f t="shared" si="0"/>
        <v>0.127675840978593</v>
      </c>
      <c r="V46" s="2" t="str">
        <f t="shared" si="1"/>
        <v>High Sales</v>
      </c>
      <c r="W46" t="str">
        <f t="shared" si="2"/>
        <v>Nov</v>
      </c>
      <c r="X46" t="str">
        <f t="shared" si="3"/>
        <v>Q4</v>
      </c>
    </row>
    <row r="47" spans="1:24">
      <c r="A47" s="2" t="s">
        <v>289</v>
      </c>
      <c r="B47" s="3">
        <v>43640</v>
      </c>
      <c r="C47" s="3">
        <v>43641</v>
      </c>
      <c r="D47" s="2" t="s">
        <v>94</v>
      </c>
      <c r="E47" s="2" t="s">
        <v>290</v>
      </c>
      <c r="F47" s="2" t="s">
        <v>163</v>
      </c>
      <c r="G47" s="2" t="s">
        <v>16</v>
      </c>
      <c r="H47" s="2" t="s">
        <v>60</v>
      </c>
      <c r="I47" s="2" t="s">
        <v>126</v>
      </c>
      <c r="J47" s="2" t="s">
        <v>127</v>
      </c>
      <c r="K47" s="2">
        <v>10001</v>
      </c>
      <c r="L47" s="2" t="s">
        <v>128</v>
      </c>
      <c r="M47" s="2" t="s">
        <v>291</v>
      </c>
      <c r="N47" s="2" t="s">
        <v>15</v>
      </c>
      <c r="O47" s="2" t="s">
        <v>104</v>
      </c>
      <c r="P47" s="2" t="s">
        <v>292</v>
      </c>
      <c r="Q47" s="4">
        <v>280.68</v>
      </c>
      <c r="R47" s="5">
        <v>9</v>
      </c>
      <c r="S47" s="6">
        <v>0.2</v>
      </c>
      <c r="T47" s="4">
        <v>49.73</v>
      </c>
      <c r="U47" s="7">
        <f t="shared" si="0"/>
        <v>0.177176856206356</v>
      </c>
      <c r="V47" s="2" t="str">
        <f t="shared" si="1"/>
        <v>Standard Sales</v>
      </c>
      <c r="W47" t="str">
        <f t="shared" si="2"/>
        <v>Jun</v>
      </c>
      <c r="X47" t="str">
        <f t="shared" si="3"/>
        <v>Q2</v>
      </c>
    </row>
    <row r="48" spans="1:24">
      <c r="A48" s="2" t="s">
        <v>293</v>
      </c>
      <c r="B48" s="3">
        <v>43741</v>
      </c>
      <c r="C48" s="3">
        <v>43745</v>
      </c>
      <c r="D48" s="2" t="s">
        <v>94</v>
      </c>
      <c r="E48" s="2" t="s">
        <v>294</v>
      </c>
      <c r="F48" s="2" t="s">
        <v>157</v>
      </c>
      <c r="G48" s="2" t="s">
        <v>19</v>
      </c>
      <c r="H48" s="2" t="s">
        <v>60</v>
      </c>
      <c r="I48" s="2" t="s">
        <v>126</v>
      </c>
      <c r="J48" s="2" t="s">
        <v>127</v>
      </c>
      <c r="K48" s="2">
        <v>10001</v>
      </c>
      <c r="L48" s="2" t="s">
        <v>128</v>
      </c>
      <c r="M48" s="2" t="s">
        <v>295</v>
      </c>
      <c r="N48" s="2" t="s">
        <v>12</v>
      </c>
      <c r="O48" s="2" t="s">
        <v>130</v>
      </c>
      <c r="P48" s="2" t="s">
        <v>296</v>
      </c>
      <c r="Q48" s="4">
        <v>1324.81</v>
      </c>
      <c r="R48" s="5">
        <v>4</v>
      </c>
      <c r="S48" s="6">
        <v>0.3</v>
      </c>
      <c r="T48" s="4">
        <v>207.24</v>
      </c>
      <c r="U48" s="7">
        <f t="shared" si="0"/>
        <v>0.156429978638446</v>
      </c>
      <c r="V48" s="2" t="str">
        <f t="shared" si="1"/>
        <v>High Sales</v>
      </c>
      <c r="W48" t="str">
        <f t="shared" si="2"/>
        <v>Oct</v>
      </c>
      <c r="X48" t="str">
        <f t="shared" si="3"/>
        <v>Q4</v>
      </c>
    </row>
    <row r="49" spans="1:24">
      <c r="A49" s="2" t="s">
        <v>297</v>
      </c>
      <c r="B49" s="3">
        <v>43808</v>
      </c>
      <c r="C49" s="3">
        <v>43812</v>
      </c>
      <c r="D49" s="2" t="s">
        <v>75</v>
      </c>
      <c r="E49" s="2" t="s">
        <v>298</v>
      </c>
      <c r="F49" s="2" t="s">
        <v>299</v>
      </c>
      <c r="G49" s="2" t="s">
        <v>16</v>
      </c>
      <c r="H49" s="2" t="s">
        <v>60</v>
      </c>
      <c r="I49" s="2" t="s">
        <v>61</v>
      </c>
      <c r="J49" s="2" t="s">
        <v>62</v>
      </c>
      <c r="K49" s="2">
        <v>10001</v>
      </c>
      <c r="L49" s="2" t="s">
        <v>17</v>
      </c>
      <c r="M49" s="2" t="s">
        <v>300</v>
      </c>
      <c r="N49" s="2" t="s">
        <v>12</v>
      </c>
      <c r="O49" s="2" t="s">
        <v>130</v>
      </c>
      <c r="P49" s="2" t="s">
        <v>270</v>
      </c>
      <c r="Q49" s="4">
        <v>523.7</v>
      </c>
      <c r="R49" s="5">
        <v>10</v>
      </c>
      <c r="S49" s="6">
        <v>0.2</v>
      </c>
      <c r="T49" s="4">
        <v>78.61</v>
      </c>
      <c r="U49" s="7">
        <f t="shared" si="0"/>
        <v>0.150105021959137</v>
      </c>
      <c r="V49" s="2" t="str">
        <f t="shared" si="1"/>
        <v>High Sales</v>
      </c>
      <c r="W49" t="str">
        <f t="shared" si="2"/>
        <v>Dec</v>
      </c>
      <c r="X49" t="str">
        <f t="shared" si="3"/>
        <v>Q4</v>
      </c>
    </row>
    <row r="50" spans="1:24">
      <c r="A50" s="2" t="s">
        <v>301</v>
      </c>
      <c r="B50" s="3">
        <v>43730</v>
      </c>
      <c r="C50" s="3">
        <v>43732</v>
      </c>
      <c r="D50" s="2" t="s">
        <v>57</v>
      </c>
      <c r="E50" s="2" t="s">
        <v>302</v>
      </c>
      <c r="F50" s="2" t="s">
        <v>157</v>
      </c>
      <c r="G50" s="2" t="s">
        <v>16</v>
      </c>
      <c r="H50" s="2" t="s">
        <v>60</v>
      </c>
      <c r="I50" s="2" t="s">
        <v>69</v>
      </c>
      <c r="J50" s="2" t="s">
        <v>70</v>
      </c>
      <c r="K50" s="2">
        <v>10001</v>
      </c>
      <c r="L50" s="2" t="s">
        <v>14</v>
      </c>
      <c r="M50" s="2" t="s">
        <v>303</v>
      </c>
      <c r="N50" s="2" t="s">
        <v>15</v>
      </c>
      <c r="O50" s="2" t="s">
        <v>148</v>
      </c>
      <c r="P50" s="2" t="s">
        <v>304</v>
      </c>
      <c r="Q50" s="4">
        <v>1073.53</v>
      </c>
      <c r="R50" s="5">
        <v>8</v>
      </c>
      <c r="S50" s="6">
        <v>0</v>
      </c>
      <c r="T50" s="4">
        <v>-62.4</v>
      </c>
      <c r="U50" s="7">
        <f t="shared" si="0"/>
        <v>-0.0581259955473997</v>
      </c>
      <c r="V50" s="2" t="str">
        <f t="shared" si="1"/>
        <v>High Sales</v>
      </c>
      <c r="W50" t="str">
        <f t="shared" si="2"/>
        <v>Sep</v>
      </c>
      <c r="X50" t="str">
        <f t="shared" si="3"/>
        <v>Q3</v>
      </c>
    </row>
    <row r="51" spans="1:24">
      <c r="A51" s="2" t="s">
        <v>305</v>
      </c>
      <c r="B51" s="3">
        <v>43579</v>
      </c>
      <c r="C51" s="3">
        <v>43583</v>
      </c>
      <c r="D51" s="2" t="s">
        <v>133</v>
      </c>
      <c r="E51" s="2" t="s">
        <v>306</v>
      </c>
      <c r="F51" s="2" t="s">
        <v>135</v>
      </c>
      <c r="G51" s="2" t="s">
        <v>19</v>
      </c>
      <c r="H51" s="2" t="s">
        <v>60</v>
      </c>
      <c r="I51" s="2" t="s">
        <v>126</v>
      </c>
      <c r="J51" s="2" t="s">
        <v>127</v>
      </c>
      <c r="K51" s="2">
        <v>10001</v>
      </c>
      <c r="L51" s="2" t="s">
        <v>128</v>
      </c>
      <c r="M51" s="2" t="s">
        <v>307</v>
      </c>
      <c r="N51" s="2" t="s">
        <v>12</v>
      </c>
      <c r="O51" s="2" t="s">
        <v>137</v>
      </c>
      <c r="P51" s="2" t="s">
        <v>308</v>
      </c>
      <c r="Q51" s="4">
        <v>649.75</v>
      </c>
      <c r="R51" s="5">
        <v>9</v>
      </c>
      <c r="S51" s="6">
        <v>0.2</v>
      </c>
      <c r="T51" s="4">
        <v>37.89</v>
      </c>
      <c r="U51" s="7">
        <f t="shared" si="0"/>
        <v>0.0583147364370912</v>
      </c>
      <c r="V51" s="2" t="str">
        <f t="shared" si="1"/>
        <v>High Sales</v>
      </c>
      <c r="W51" t="str">
        <f t="shared" si="2"/>
        <v>Apr</v>
      </c>
      <c r="X51" t="str">
        <f t="shared" si="3"/>
        <v>Q2</v>
      </c>
    </row>
    <row r="52" spans="1:24">
      <c r="A52" s="2" t="s">
        <v>309</v>
      </c>
      <c r="B52" s="3">
        <v>43698</v>
      </c>
      <c r="C52" s="3">
        <v>43701</v>
      </c>
      <c r="D52" s="2" t="s">
        <v>75</v>
      </c>
      <c r="E52" s="2" t="s">
        <v>310</v>
      </c>
      <c r="F52" s="2" t="s">
        <v>108</v>
      </c>
      <c r="G52" s="2" t="s">
        <v>13</v>
      </c>
      <c r="H52" s="2" t="s">
        <v>60</v>
      </c>
      <c r="I52" s="2" t="s">
        <v>61</v>
      </c>
      <c r="J52" s="2" t="s">
        <v>62</v>
      </c>
      <c r="K52" s="2">
        <v>10001</v>
      </c>
      <c r="L52" s="2" t="s">
        <v>17</v>
      </c>
      <c r="M52" s="2" t="s">
        <v>311</v>
      </c>
      <c r="N52" s="2" t="s">
        <v>12</v>
      </c>
      <c r="O52" s="2" t="s">
        <v>130</v>
      </c>
      <c r="P52" s="2" t="s">
        <v>312</v>
      </c>
      <c r="Q52" s="4">
        <v>1041.44</v>
      </c>
      <c r="R52" s="5">
        <v>4</v>
      </c>
      <c r="S52" s="6">
        <v>0.1</v>
      </c>
      <c r="T52" s="4">
        <v>242</v>
      </c>
      <c r="U52" s="7">
        <f t="shared" si="0"/>
        <v>0.23237056383469</v>
      </c>
      <c r="V52" s="2" t="str">
        <f t="shared" si="1"/>
        <v>High Sales</v>
      </c>
      <c r="W52" t="str">
        <f t="shared" si="2"/>
        <v>Aug</v>
      </c>
      <c r="X52" t="str">
        <f t="shared" si="3"/>
        <v>Q3</v>
      </c>
    </row>
    <row r="53" spans="1:24">
      <c r="A53" s="2" t="s">
        <v>313</v>
      </c>
      <c r="B53" s="3">
        <v>43607</v>
      </c>
      <c r="C53" s="3">
        <v>43612</v>
      </c>
      <c r="D53" s="2" t="s">
        <v>75</v>
      </c>
      <c r="E53" s="2" t="s">
        <v>314</v>
      </c>
      <c r="F53" s="2" t="s">
        <v>68</v>
      </c>
      <c r="G53" s="2" t="s">
        <v>16</v>
      </c>
      <c r="H53" s="2" t="s">
        <v>60</v>
      </c>
      <c r="I53" s="2" t="s">
        <v>61</v>
      </c>
      <c r="J53" s="2" t="s">
        <v>62</v>
      </c>
      <c r="K53" s="2">
        <v>10001</v>
      </c>
      <c r="L53" s="2" t="s">
        <v>17</v>
      </c>
      <c r="M53" s="2" t="s">
        <v>315</v>
      </c>
      <c r="N53" s="2" t="s">
        <v>12</v>
      </c>
      <c r="O53" s="2" t="s">
        <v>130</v>
      </c>
      <c r="P53" s="2" t="s">
        <v>316</v>
      </c>
      <c r="Q53" s="4">
        <v>1067.87</v>
      </c>
      <c r="R53" s="5">
        <v>3</v>
      </c>
      <c r="S53" s="6">
        <v>0.2</v>
      </c>
      <c r="T53" s="4">
        <v>-84.91</v>
      </c>
      <c r="U53" s="7">
        <f t="shared" si="0"/>
        <v>-0.0795134239186418</v>
      </c>
      <c r="V53" s="2" t="str">
        <f t="shared" si="1"/>
        <v>High Sales</v>
      </c>
      <c r="W53" t="str">
        <f t="shared" si="2"/>
        <v>May</v>
      </c>
      <c r="X53" t="str">
        <f t="shared" si="3"/>
        <v>Q2</v>
      </c>
    </row>
    <row r="54" spans="1:24">
      <c r="A54" s="2" t="s">
        <v>317</v>
      </c>
      <c r="B54" s="3">
        <v>43493</v>
      </c>
      <c r="C54" s="3">
        <v>43498</v>
      </c>
      <c r="D54" s="2" t="s">
        <v>75</v>
      </c>
      <c r="E54" s="2" t="s">
        <v>318</v>
      </c>
      <c r="F54" s="2" t="s">
        <v>90</v>
      </c>
      <c r="G54" s="2" t="s">
        <v>16</v>
      </c>
      <c r="H54" s="2" t="s">
        <v>60</v>
      </c>
      <c r="I54" s="2" t="s">
        <v>78</v>
      </c>
      <c r="J54" s="2" t="s">
        <v>79</v>
      </c>
      <c r="K54" s="2">
        <v>10001</v>
      </c>
      <c r="L54" s="2" t="s">
        <v>11</v>
      </c>
      <c r="M54" s="2" t="s">
        <v>319</v>
      </c>
      <c r="N54" s="2" t="s">
        <v>18</v>
      </c>
      <c r="O54" s="2" t="s">
        <v>320</v>
      </c>
      <c r="P54" s="2" t="s">
        <v>321</v>
      </c>
      <c r="Q54" s="4">
        <v>671.89</v>
      </c>
      <c r="R54" s="5">
        <v>3</v>
      </c>
      <c r="S54" s="6">
        <v>0</v>
      </c>
      <c r="T54" s="4">
        <v>9.15</v>
      </c>
      <c r="U54" s="7">
        <f t="shared" si="0"/>
        <v>0.013618300614684</v>
      </c>
      <c r="V54" s="2" t="str">
        <f t="shared" si="1"/>
        <v>High Sales</v>
      </c>
      <c r="W54" t="str">
        <f t="shared" si="2"/>
        <v>Jan</v>
      </c>
      <c r="X54" t="str">
        <f t="shared" si="3"/>
        <v>Q1</v>
      </c>
    </row>
    <row r="55" spans="1:24">
      <c r="A55" s="2" t="s">
        <v>322</v>
      </c>
      <c r="B55" s="3">
        <v>43710</v>
      </c>
      <c r="C55" s="3">
        <v>43711</v>
      </c>
      <c r="D55" s="2" t="s">
        <v>57</v>
      </c>
      <c r="E55" s="2" t="s">
        <v>323</v>
      </c>
      <c r="F55" s="2" t="s">
        <v>299</v>
      </c>
      <c r="G55" s="2" t="s">
        <v>13</v>
      </c>
      <c r="H55" s="2" t="s">
        <v>60</v>
      </c>
      <c r="I55" s="2" t="s">
        <v>78</v>
      </c>
      <c r="J55" s="2" t="s">
        <v>79</v>
      </c>
      <c r="K55" s="2">
        <v>10001</v>
      </c>
      <c r="L55" s="2" t="s">
        <v>11</v>
      </c>
      <c r="M55" s="2" t="s">
        <v>324</v>
      </c>
      <c r="N55" s="2" t="s">
        <v>18</v>
      </c>
      <c r="O55" s="2" t="s">
        <v>159</v>
      </c>
      <c r="P55" s="2" t="s">
        <v>325</v>
      </c>
      <c r="Q55" s="4">
        <v>1491</v>
      </c>
      <c r="R55" s="5">
        <v>2</v>
      </c>
      <c r="S55" s="6">
        <v>0.3</v>
      </c>
      <c r="T55" s="4">
        <v>257.71</v>
      </c>
      <c r="U55" s="7">
        <f t="shared" si="0"/>
        <v>0.172843729040912</v>
      </c>
      <c r="V55" s="2" t="str">
        <f t="shared" si="1"/>
        <v>High Sales</v>
      </c>
      <c r="W55" t="str">
        <f t="shared" si="2"/>
        <v>Sep</v>
      </c>
      <c r="X55" t="str">
        <f t="shared" si="3"/>
        <v>Q3</v>
      </c>
    </row>
    <row r="56" spans="1:24">
      <c r="A56" s="2" t="s">
        <v>326</v>
      </c>
      <c r="B56" s="3">
        <v>43782</v>
      </c>
      <c r="C56" s="3">
        <v>43784</v>
      </c>
      <c r="D56" s="2" t="s">
        <v>94</v>
      </c>
      <c r="E56" s="2" t="s">
        <v>327</v>
      </c>
      <c r="F56" s="2" t="s">
        <v>141</v>
      </c>
      <c r="G56" s="2" t="s">
        <v>16</v>
      </c>
      <c r="H56" s="2" t="s">
        <v>60</v>
      </c>
      <c r="I56" s="2" t="s">
        <v>69</v>
      </c>
      <c r="J56" s="2" t="s">
        <v>70</v>
      </c>
      <c r="K56" s="2">
        <v>10001</v>
      </c>
      <c r="L56" s="2" t="s">
        <v>14</v>
      </c>
      <c r="M56" s="2" t="s">
        <v>328</v>
      </c>
      <c r="N56" s="2" t="s">
        <v>12</v>
      </c>
      <c r="O56" s="2" t="s">
        <v>137</v>
      </c>
      <c r="P56" s="2" t="s">
        <v>329</v>
      </c>
      <c r="Q56" s="4">
        <v>1440.96</v>
      </c>
      <c r="R56" s="5">
        <v>2</v>
      </c>
      <c r="S56" s="6">
        <v>0.1</v>
      </c>
      <c r="T56" s="4">
        <v>261.51</v>
      </c>
      <c r="U56" s="7">
        <f t="shared" si="0"/>
        <v>0.181483177881412</v>
      </c>
      <c r="V56" s="2" t="str">
        <f t="shared" si="1"/>
        <v>High Sales</v>
      </c>
      <c r="W56" t="str">
        <f t="shared" si="2"/>
        <v>Nov</v>
      </c>
      <c r="X56" t="str">
        <f t="shared" si="3"/>
        <v>Q4</v>
      </c>
    </row>
    <row r="57" spans="1:24">
      <c r="A57" s="2" t="s">
        <v>330</v>
      </c>
      <c r="B57" s="3">
        <v>43601</v>
      </c>
      <c r="C57" s="3">
        <v>43602</v>
      </c>
      <c r="D57" s="2" t="s">
        <v>133</v>
      </c>
      <c r="E57" s="2" t="s">
        <v>331</v>
      </c>
      <c r="F57" s="2" t="s">
        <v>332</v>
      </c>
      <c r="G57" s="2" t="s">
        <v>19</v>
      </c>
      <c r="H57" s="2" t="s">
        <v>60</v>
      </c>
      <c r="I57" s="2" t="s">
        <v>78</v>
      </c>
      <c r="J57" s="2" t="s">
        <v>79</v>
      </c>
      <c r="K57" s="2">
        <v>10001</v>
      </c>
      <c r="L57" s="2" t="s">
        <v>11</v>
      </c>
      <c r="M57" s="2" t="s">
        <v>333</v>
      </c>
      <c r="N57" s="2" t="s">
        <v>18</v>
      </c>
      <c r="O57" s="2" t="s">
        <v>110</v>
      </c>
      <c r="P57" s="2" t="s">
        <v>334</v>
      </c>
      <c r="Q57" s="4">
        <v>1040.27</v>
      </c>
      <c r="R57" s="5">
        <v>8</v>
      </c>
      <c r="S57" s="6">
        <v>0.2</v>
      </c>
      <c r="T57" s="4">
        <v>-88.75</v>
      </c>
      <c r="U57" s="7">
        <f t="shared" si="0"/>
        <v>-0.0853143895334865</v>
      </c>
      <c r="V57" s="2" t="str">
        <f t="shared" si="1"/>
        <v>High Sales</v>
      </c>
      <c r="W57" t="str">
        <f t="shared" si="2"/>
        <v>May</v>
      </c>
      <c r="X57" t="str">
        <f t="shared" si="3"/>
        <v>Q2</v>
      </c>
    </row>
    <row r="58" spans="1:24">
      <c r="A58" s="2" t="s">
        <v>335</v>
      </c>
      <c r="B58" s="3">
        <v>43613</v>
      </c>
      <c r="C58" s="3">
        <v>43616</v>
      </c>
      <c r="D58" s="2" t="s">
        <v>94</v>
      </c>
      <c r="E58" s="2" t="s">
        <v>336</v>
      </c>
      <c r="F58" s="2" t="s">
        <v>205</v>
      </c>
      <c r="G58" s="2" t="s">
        <v>13</v>
      </c>
      <c r="H58" s="2" t="s">
        <v>60</v>
      </c>
      <c r="I58" s="2" t="s">
        <v>126</v>
      </c>
      <c r="J58" s="2" t="s">
        <v>127</v>
      </c>
      <c r="K58" s="2">
        <v>10001</v>
      </c>
      <c r="L58" s="2" t="s">
        <v>128</v>
      </c>
      <c r="M58" s="2" t="s">
        <v>337</v>
      </c>
      <c r="N58" s="2" t="s">
        <v>15</v>
      </c>
      <c r="O58" s="2" t="s">
        <v>116</v>
      </c>
      <c r="P58" s="2" t="s">
        <v>338</v>
      </c>
      <c r="Q58" s="4">
        <v>189.87</v>
      </c>
      <c r="R58" s="5">
        <v>4</v>
      </c>
      <c r="S58" s="6">
        <v>0.1</v>
      </c>
      <c r="T58" s="4">
        <v>58.63</v>
      </c>
      <c r="U58" s="7">
        <f t="shared" si="0"/>
        <v>0.308790224890715</v>
      </c>
      <c r="V58" s="2" t="str">
        <f t="shared" si="1"/>
        <v>Standard Sales</v>
      </c>
      <c r="W58" t="str">
        <f t="shared" si="2"/>
        <v>May</v>
      </c>
      <c r="X58" t="str">
        <f t="shared" si="3"/>
        <v>Q2</v>
      </c>
    </row>
    <row r="59" spans="1:24">
      <c r="A59" s="2" t="s">
        <v>339</v>
      </c>
      <c r="B59" s="3">
        <v>43538</v>
      </c>
      <c r="C59" s="3">
        <v>43539</v>
      </c>
      <c r="D59" s="2" t="s">
        <v>57</v>
      </c>
      <c r="E59" s="2" t="s">
        <v>340</v>
      </c>
      <c r="F59" s="2" t="s">
        <v>282</v>
      </c>
      <c r="G59" s="2" t="s">
        <v>19</v>
      </c>
      <c r="H59" s="2" t="s">
        <v>60</v>
      </c>
      <c r="I59" s="2" t="s">
        <v>126</v>
      </c>
      <c r="J59" s="2" t="s">
        <v>127</v>
      </c>
      <c r="K59" s="2">
        <v>10001</v>
      </c>
      <c r="L59" s="2" t="s">
        <v>128</v>
      </c>
      <c r="M59" s="2" t="s">
        <v>341</v>
      </c>
      <c r="N59" s="2" t="s">
        <v>12</v>
      </c>
      <c r="O59" s="2" t="s">
        <v>130</v>
      </c>
      <c r="P59" s="2" t="s">
        <v>342</v>
      </c>
      <c r="Q59" s="4">
        <v>470.05</v>
      </c>
      <c r="R59" s="5">
        <v>7</v>
      </c>
      <c r="S59" s="6">
        <v>0.2</v>
      </c>
      <c r="T59" s="4">
        <v>58.86</v>
      </c>
      <c r="U59" s="7">
        <f t="shared" si="0"/>
        <v>0.125220721199872</v>
      </c>
      <c r="V59" s="2" t="str">
        <f t="shared" si="1"/>
        <v>Standard Sales</v>
      </c>
      <c r="W59" t="str">
        <f t="shared" si="2"/>
        <v>Mar</v>
      </c>
      <c r="X59" t="str">
        <f t="shared" si="3"/>
        <v>Q1</v>
      </c>
    </row>
    <row r="60" spans="1:24">
      <c r="A60" s="2" t="s">
        <v>343</v>
      </c>
      <c r="B60" s="3">
        <v>43718</v>
      </c>
      <c r="C60" s="3">
        <v>43722</v>
      </c>
      <c r="D60" s="2" t="s">
        <v>57</v>
      </c>
      <c r="E60" s="2" t="s">
        <v>344</v>
      </c>
      <c r="F60" s="2" t="s">
        <v>146</v>
      </c>
      <c r="G60" s="2" t="s">
        <v>16</v>
      </c>
      <c r="H60" s="2" t="s">
        <v>60</v>
      </c>
      <c r="I60" s="2" t="s">
        <v>126</v>
      </c>
      <c r="J60" s="2" t="s">
        <v>127</v>
      </c>
      <c r="K60" s="2">
        <v>10001</v>
      </c>
      <c r="L60" s="2" t="s">
        <v>128</v>
      </c>
      <c r="M60" s="2" t="s">
        <v>345</v>
      </c>
      <c r="N60" s="2" t="s">
        <v>15</v>
      </c>
      <c r="O60" s="2" t="s">
        <v>98</v>
      </c>
      <c r="P60" s="2" t="s">
        <v>346</v>
      </c>
      <c r="Q60" s="4">
        <v>358.81</v>
      </c>
      <c r="R60" s="5">
        <v>10</v>
      </c>
      <c r="S60" s="6">
        <v>0</v>
      </c>
      <c r="T60" s="4">
        <v>125.51</v>
      </c>
      <c r="U60" s="7">
        <f t="shared" si="0"/>
        <v>0.349795156210808</v>
      </c>
      <c r="V60" s="2" t="str">
        <f t="shared" si="1"/>
        <v>Standard Sales</v>
      </c>
      <c r="W60" t="str">
        <f t="shared" si="2"/>
        <v>Sep</v>
      </c>
      <c r="X60" t="str">
        <f t="shared" si="3"/>
        <v>Q3</v>
      </c>
    </row>
    <row r="61" spans="1:24">
      <c r="A61" s="2" t="s">
        <v>347</v>
      </c>
      <c r="B61" s="3">
        <v>43810</v>
      </c>
      <c r="C61" s="3">
        <v>43813</v>
      </c>
      <c r="D61" s="2" t="s">
        <v>57</v>
      </c>
      <c r="E61" s="2" t="s">
        <v>348</v>
      </c>
      <c r="F61" s="2" t="s">
        <v>152</v>
      </c>
      <c r="G61" s="2" t="s">
        <v>19</v>
      </c>
      <c r="H61" s="2" t="s">
        <v>60</v>
      </c>
      <c r="I61" s="2" t="s">
        <v>69</v>
      </c>
      <c r="J61" s="2" t="s">
        <v>70</v>
      </c>
      <c r="K61" s="2">
        <v>10001</v>
      </c>
      <c r="L61" s="2" t="s">
        <v>14</v>
      </c>
      <c r="M61" s="2" t="s">
        <v>349</v>
      </c>
      <c r="N61" s="2" t="s">
        <v>12</v>
      </c>
      <c r="O61" s="2" t="s">
        <v>130</v>
      </c>
      <c r="P61" s="2" t="s">
        <v>350</v>
      </c>
      <c r="Q61" s="4">
        <v>1225.08</v>
      </c>
      <c r="R61" s="5">
        <v>2</v>
      </c>
      <c r="S61" s="6">
        <v>0.3</v>
      </c>
      <c r="T61" s="4">
        <v>69.32</v>
      </c>
      <c r="U61" s="7">
        <f t="shared" si="0"/>
        <v>0.0565840598165018</v>
      </c>
      <c r="V61" s="2" t="str">
        <f t="shared" si="1"/>
        <v>High Sales</v>
      </c>
      <c r="W61" t="str">
        <f t="shared" si="2"/>
        <v>Dec</v>
      </c>
      <c r="X61" t="str">
        <f t="shared" si="3"/>
        <v>Q4</v>
      </c>
    </row>
    <row r="62" spans="1:24">
      <c r="A62" s="2" t="s">
        <v>351</v>
      </c>
      <c r="B62" s="3">
        <v>43636</v>
      </c>
      <c r="C62" s="3">
        <v>43639</v>
      </c>
      <c r="D62" s="2" t="s">
        <v>57</v>
      </c>
      <c r="E62" s="2" t="s">
        <v>352</v>
      </c>
      <c r="F62" s="2" t="s">
        <v>353</v>
      </c>
      <c r="G62" s="2" t="s">
        <v>16</v>
      </c>
      <c r="H62" s="2" t="s">
        <v>60</v>
      </c>
      <c r="I62" s="2" t="s">
        <v>69</v>
      </c>
      <c r="J62" s="2" t="s">
        <v>70</v>
      </c>
      <c r="K62" s="2">
        <v>10001</v>
      </c>
      <c r="L62" s="2" t="s">
        <v>14</v>
      </c>
      <c r="M62" s="2" t="s">
        <v>354</v>
      </c>
      <c r="N62" s="2" t="s">
        <v>12</v>
      </c>
      <c r="O62" s="2" t="s">
        <v>137</v>
      </c>
      <c r="P62" s="2" t="s">
        <v>355</v>
      </c>
      <c r="Q62" s="4">
        <v>834.14</v>
      </c>
      <c r="R62" s="5">
        <v>8</v>
      </c>
      <c r="S62" s="6">
        <v>0</v>
      </c>
      <c r="T62" s="4">
        <v>34.64</v>
      </c>
      <c r="U62" s="7">
        <f t="shared" si="0"/>
        <v>0.0415278010885463</v>
      </c>
      <c r="V62" s="2" t="str">
        <f t="shared" si="1"/>
        <v>High Sales</v>
      </c>
      <c r="W62" t="str">
        <f t="shared" si="2"/>
        <v>Jun</v>
      </c>
      <c r="X62" t="str">
        <f t="shared" si="3"/>
        <v>Q2</v>
      </c>
    </row>
    <row r="63" spans="1:24">
      <c r="A63" s="2" t="s">
        <v>356</v>
      </c>
      <c r="B63" s="3">
        <v>43631</v>
      </c>
      <c r="C63" s="3">
        <v>43632</v>
      </c>
      <c r="D63" s="2" t="s">
        <v>94</v>
      </c>
      <c r="E63" s="2" t="s">
        <v>357</v>
      </c>
      <c r="F63" s="2" t="s">
        <v>114</v>
      </c>
      <c r="G63" s="2" t="s">
        <v>19</v>
      </c>
      <c r="H63" s="2" t="s">
        <v>60</v>
      </c>
      <c r="I63" s="2" t="s">
        <v>69</v>
      </c>
      <c r="J63" s="2" t="s">
        <v>70</v>
      </c>
      <c r="K63" s="2">
        <v>10001</v>
      </c>
      <c r="L63" s="2" t="s">
        <v>14</v>
      </c>
      <c r="M63" s="2" t="s">
        <v>358</v>
      </c>
      <c r="N63" s="2" t="s">
        <v>12</v>
      </c>
      <c r="O63" s="2" t="s">
        <v>130</v>
      </c>
      <c r="P63" s="2" t="s">
        <v>359</v>
      </c>
      <c r="Q63" s="4">
        <v>555.43</v>
      </c>
      <c r="R63" s="5">
        <v>8</v>
      </c>
      <c r="S63" s="6">
        <v>0.3</v>
      </c>
      <c r="T63" s="4">
        <v>134.41</v>
      </c>
      <c r="U63" s="7">
        <f t="shared" si="0"/>
        <v>0.241992690348019</v>
      </c>
      <c r="V63" s="2" t="str">
        <f t="shared" si="1"/>
        <v>High Sales</v>
      </c>
      <c r="W63" t="str">
        <f t="shared" si="2"/>
        <v>Jun</v>
      </c>
      <c r="X63" t="str">
        <f t="shared" si="3"/>
        <v>Q2</v>
      </c>
    </row>
    <row r="64" spans="1:24">
      <c r="A64" s="2" t="s">
        <v>360</v>
      </c>
      <c r="B64" s="3">
        <v>43570</v>
      </c>
      <c r="C64" s="3">
        <v>43573</v>
      </c>
      <c r="D64" s="2" t="s">
        <v>133</v>
      </c>
      <c r="E64" s="2" t="s">
        <v>361</v>
      </c>
      <c r="F64" s="2" t="s">
        <v>141</v>
      </c>
      <c r="G64" s="2" t="s">
        <v>19</v>
      </c>
      <c r="H64" s="2" t="s">
        <v>60</v>
      </c>
      <c r="I64" s="2" t="s">
        <v>69</v>
      </c>
      <c r="J64" s="2" t="s">
        <v>70</v>
      </c>
      <c r="K64" s="2">
        <v>10001</v>
      </c>
      <c r="L64" s="2" t="s">
        <v>14</v>
      </c>
      <c r="M64" s="2" t="s">
        <v>362</v>
      </c>
      <c r="N64" s="2" t="s">
        <v>18</v>
      </c>
      <c r="O64" s="2" t="s">
        <v>110</v>
      </c>
      <c r="P64" s="2" t="s">
        <v>363</v>
      </c>
      <c r="Q64" s="4">
        <v>254.4</v>
      </c>
      <c r="R64" s="5">
        <v>9</v>
      </c>
      <c r="S64" s="6">
        <v>0</v>
      </c>
      <c r="T64" s="4">
        <v>37.78</v>
      </c>
      <c r="U64" s="7">
        <f t="shared" si="0"/>
        <v>0.148506289308176</v>
      </c>
      <c r="V64" s="2" t="str">
        <f t="shared" si="1"/>
        <v>Standard Sales</v>
      </c>
      <c r="W64" t="str">
        <f t="shared" si="2"/>
        <v>Apr</v>
      </c>
      <c r="X64" t="str">
        <f t="shared" si="3"/>
        <v>Q2</v>
      </c>
    </row>
    <row r="65" spans="1:24">
      <c r="A65" s="2" t="s">
        <v>364</v>
      </c>
      <c r="B65" s="3">
        <v>43513</v>
      </c>
      <c r="C65" s="3">
        <v>43515</v>
      </c>
      <c r="D65" s="2" t="s">
        <v>57</v>
      </c>
      <c r="E65" s="2" t="s">
        <v>365</v>
      </c>
      <c r="F65" s="2" t="s">
        <v>219</v>
      </c>
      <c r="G65" s="2" t="s">
        <v>19</v>
      </c>
      <c r="H65" s="2" t="s">
        <v>60</v>
      </c>
      <c r="I65" s="2" t="s">
        <v>61</v>
      </c>
      <c r="J65" s="2" t="s">
        <v>62</v>
      </c>
      <c r="K65" s="2">
        <v>10001</v>
      </c>
      <c r="L65" s="2" t="s">
        <v>17</v>
      </c>
      <c r="M65" s="2" t="s">
        <v>366</v>
      </c>
      <c r="N65" s="2" t="s">
        <v>12</v>
      </c>
      <c r="O65" s="2" t="s">
        <v>137</v>
      </c>
      <c r="P65" s="2" t="s">
        <v>367</v>
      </c>
      <c r="Q65" s="4">
        <v>1064.01</v>
      </c>
      <c r="R65" s="5">
        <v>7</v>
      </c>
      <c r="S65" s="6">
        <v>0.3</v>
      </c>
      <c r="T65" s="4">
        <v>362.94</v>
      </c>
      <c r="U65" s="7">
        <f t="shared" si="0"/>
        <v>0.341105816674655</v>
      </c>
      <c r="V65" s="2" t="str">
        <f t="shared" si="1"/>
        <v>High Sales</v>
      </c>
      <c r="W65" t="str">
        <f t="shared" si="2"/>
        <v>Feb</v>
      </c>
      <c r="X65" t="str">
        <f t="shared" si="3"/>
        <v>Q1</v>
      </c>
    </row>
    <row r="66" spans="1:24">
      <c r="A66" s="2" t="s">
        <v>368</v>
      </c>
      <c r="B66" s="3">
        <v>43590</v>
      </c>
      <c r="C66" s="3">
        <v>43594</v>
      </c>
      <c r="D66" s="2" t="s">
        <v>133</v>
      </c>
      <c r="E66" s="2" t="s">
        <v>369</v>
      </c>
      <c r="F66" s="2" t="s">
        <v>68</v>
      </c>
      <c r="G66" s="2" t="s">
        <v>19</v>
      </c>
      <c r="H66" s="2" t="s">
        <v>60</v>
      </c>
      <c r="I66" s="2" t="s">
        <v>61</v>
      </c>
      <c r="J66" s="2" t="s">
        <v>62</v>
      </c>
      <c r="K66" s="2">
        <v>10001</v>
      </c>
      <c r="L66" s="2" t="s">
        <v>17</v>
      </c>
      <c r="M66" s="2" t="s">
        <v>370</v>
      </c>
      <c r="N66" s="2" t="s">
        <v>18</v>
      </c>
      <c r="O66" s="2" t="s">
        <v>320</v>
      </c>
      <c r="P66" s="2" t="s">
        <v>371</v>
      </c>
      <c r="Q66" s="4">
        <v>1402.69</v>
      </c>
      <c r="R66" s="5">
        <v>9</v>
      </c>
      <c r="S66" s="6">
        <v>0.2</v>
      </c>
      <c r="T66" s="4">
        <v>377.67</v>
      </c>
      <c r="U66" s="7">
        <f t="shared" ref="U66:U129" si="4">IF(Q66=0,0,T66/Q66)</f>
        <v>0.26924694693767</v>
      </c>
      <c r="V66" s="2" t="str">
        <f t="shared" ref="V66:V129" si="5">IF(Q66&gt;500,"High Sales","Standard Sales")</f>
        <v>High Sales</v>
      </c>
      <c r="W66" t="str">
        <f t="shared" ref="W66:W129" si="6">TEXT(B66,"mmm")</f>
        <v>May</v>
      </c>
      <c r="X66" t="str">
        <f t="shared" ref="X66:X129" si="7">"Q"&amp;ROUNDUP(MONTH(B66)/3,0)</f>
        <v>Q2</v>
      </c>
    </row>
    <row r="67" spans="1:24">
      <c r="A67" s="2" t="s">
        <v>372</v>
      </c>
      <c r="B67" s="3">
        <v>43610</v>
      </c>
      <c r="C67" s="3">
        <v>43613</v>
      </c>
      <c r="D67" s="2" t="s">
        <v>94</v>
      </c>
      <c r="E67" s="2" t="s">
        <v>373</v>
      </c>
      <c r="F67" s="2" t="s">
        <v>141</v>
      </c>
      <c r="G67" s="2" t="s">
        <v>19</v>
      </c>
      <c r="H67" s="2" t="s">
        <v>60</v>
      </c>
      <c r="I67" s="2" t="s">
        <v>69</v>
      </c>
      <c r="J67" s="2" t="s">
        <v>70</v>
      </c>
      <c r="K67" s="2">
        <v>10001</v>
      </c>
      <c r="L67" s="2" t="s">
        <v>14</v>
      </c>
      <c r="M67" s="2" t="s">
        <v>374</v>
      </c>
      <c r="N67" s="2" t="s">
        <v>12</v>
      </c>
      <c r="O67" s="2" t="s">
        <v>81</v>
      </c>
      <c r="P67" s="2" t="s">
        <v>375</v>
      </c>
      <c r="Q67" s="4">
        <v>693.91</v>
      </c>
      <c r="R67" s="5">
        <v>6</v>
      </c>
      <c r="S67" s="6">
        <v>0.1</v>
      </c>
      <c r="T67" s="4">
        <v>236.87</v>
      </c>
      <c r="U67" s="7">
        <f t="shared" si="4"/>
        <v>0.34135550719834</v>
      </c>
      <c r="V67" s="2" t="str">
        <f t="shared" si="5"/>
        <v>High Sales</v>
      </c>
      <c r="W67" t="str">
        <f t="shared" si="6"/>
        <v>May</v>
      </c>
      <c r="X67" t="str">
        <f t="shared" si="7"/>
        <v>Q2</v>
      </c>
    </row>
    <row r="68" spans="1:24">
      <c r="A68" s="2" t="s">
        <v>376</v>
      </c>
      <c r="B68" s="3">
        <v>43588</v>
      </c>
      <c r="C68" s="3">
        <v>43593</v>
      </c>
      <c r="D68" s="2" t="s">
        <v>94</v>
      </c>
      <c r="E68" s="2" t="s">
        <v>377</v>
      </c>
      <c r="F68" s="2" t="s">
        <v>378</v>
      </c>
      <c r="G68" s="2" t="s">
        <v>16</v>
      </c>
      <c r="H68" s="2" t="s">
        <v>60</v>
      </c>
      <c r="I68" s="2" t="s">
        <v>78</v>
      </c>
      <c r="J68" s="2" t="s">
        <v>79</v>
      </c>
      <c r="K68" s="2">
        <v>10001</v>
      </c>
      <c r="L68" s="2" t="s">
        <v>11</v>
      </c>
      <c r="M68" s="2" t="s">
        <v>379</v>
      </c>
      <c r="N68" s="2" t="s">
        <v>12</v>
      </c>
      <c r="O68" s="2" t="s">
        <v>137</v>
      </c>
      <c r="P68" s="2" t="s">
        <v>380</v>
      </c>
      <c r="Q68" s="4">
        <v>1371.88</v>
      </c>
      <c r="R68" s="5">
        <v>7</v>
      </c>
      <c r="S68" s="6">
        <v>0.3</v>
      </c>
      <c r="T68" s="4">
        <v>473.01</v>
      </c>
      <c r="U68" s="7">
        <f t="shared" si="4"/>
        <v>0.344789631746217</v>
      </c>
      <c r="V68" s="2" t="str">
        <f t="shared" si="5"/>
        <v>High Sales</v>
      </c>
      <c r="W68" t="str">
        <f t="shared" si="6"/>
        <v>May</v>
      </c>
      <c r="X68" t="str">
        <f t="shared" si="7"/>
        <v>Q2</v>
      </c>
    </row>
    <row r="69" spans="1:24">
      <c r="A69" s="2" t="s">
        <v>381</v>
      </c>
      <c r="B69" s="3">
        <v>43799</v>
      </c>
      <c r="C69" s="3">
        <v>43801</v>
      </c>
      <c r="D69" s="2" t="s">
        <v>94</v>
      </c>
      <c r="E69" s="2" t="s">
        <v>382</v>
      </c>
      <c r="F69" s="2" t="s">
        <v>383</v>
      </c>
      <c r="G69" s="2" t="s">
        <v>19</v>
      </c>
      <c r="H69" s="2" t="s">
        <v>60</v>
      </c>
      <c r="I69" s="2" t="s">
        <v>126</v>
      </c>
      <c r="J69" s="2" t="s">
        <v>127</v>
      </c>
      <c r="K69" s="2">
        <v>10001</v>
      </c>
      <c r="L69" s="2" t="s">
        <v>128</v>
      </c>
      <c r="M69" s="2" t="s">
        <v>384</v>
      </c>
      <c r="N69" s="2" t="s">
        <v>18</v>
      </c>
      <c r="O69" s="2" t="s">
        <v>72</v>
      </c>
      <c r="P69" s="2" t="s">
        <v>385</v>
      </c>
      <c r="Q69" s="4">
        <v>1367.45</v>
      </c>
      <c r="R69" s="5">
        <v>1</v>
      </c>
      <c r="S69" s="6">
        <v>0.1</v>
      </c>
      <c r="T69" s="4">
        <v>115.54</v>
      </c>
      <c r="U69" s="7">
        <f t="shared" si="4"/>
        <v>0.0844930344802369</v>
      </c>
      <c r="V69" s="2" t="str">
        <f t="shared" si="5"/>
        <v>High Sales</v>
      </c>
      <c r="W69" t="str">
        <f t="shared" si="6"/>
        <v>Nov</v>
      </c>
      <c r="X69" t="str">
        <f t="shared" si="7"/>
        <v>Q4</v>
      </c>
    </row>
    <row r="70" spans="1:24">
      <c r="A70" s="2" t="s">
        <v>386</v>
      </c>
      <c r="B70" s="3">
        <v>43801</v>
      </c>
      <c r="C70" s="3">
        <v>43803</v>
      </c>
      <c r="D70" s="2" t="s">
        <v>57</v>
      </c>
      <c r="E70" s="2" t="s">
        <v>387</v>
      </c>
      <c r="F70" s="2" t="s">
        <v>168</v>
      </c>
      <c r="G70" s="2" t="s">
        <v>16</v>
      </c>
      <c r="H70" s="2" t="s">
        <v>60</v>
      </c>
      <c r="I70" s="2" t="s">
        <v>69</v>
      </c>
      <c r="J70" s="2" t="s">
        <v>70</v>
      </c>
      <c r="K70" s="2">
        <v>10001</v>
      </c>
      <c r="L70" s="2" t="s">
        <v>14</v>
      </c>
      <c r="M70" s="2" t="s">
        <v>388</v>
      </c>
      <c r="N70" s="2" t="s">
        <v>15</v>
      </c>
      <c r="O70" s="2" t="s">
        <v>64</v>
      </c>
      <c r="P70" s="2" t="s">
        <v>389</v>
      </c>
      <c r="Q70" s="4">
        <v>1291.83</v>
      </c>
      <c r="R70" s="5">
        <v>7</v>
      </c>
      <c r="S70" s="6">
        <v>0.2</v>
      </c>
      <c r="T70" s="4">
        <v>235.19</v>
      </c>
      <c r="U70" s="7">
        <f t="shared" si="4"/>
        <v>0.182059558920291</v>
      </c>
      <c r="V70" s="2" t="str">
        <f t="shared" si="5"/>
        <v>High Sales</v>
      </c>
      <c r="W70" t="str">
        <f t="shared" si="6"/>
        <v>Dec</v>
      </c>
      <c r="X70" t="str">
        <f t="shared" si="7"/>
        <v>Q4</v>
      </c>
    </row>
    <row r="71" spans="1:24">
      <c r="A71" s="2" t="s">
        <v>390</v>
      </c>
      <c r="B71" s="3">
        <v>43715</v>
      </c>
      <c r="C71" s="3">
        <v>43720</v>
      </c>
      <c r="D71" s="2" t="s">
        <v>57</v>
      </c>
      <c r="E71" s="2" t="s">
        <v>391</v>
      </c>
      <c r="F71" s="2" t="s">
        <v>200</v>
      </c>
      <c r="G71" s="2" t="s">
        <v>13</v>
      </c>
      <c r="H71" s="2" t="s">
        <v>60</v>
      </c>
      <c r="I71" s="2" t="s">
        <v>126</v>
      </c>
      <c r="J71" s="2" t="s">
        <v>127</v>
      </c>
      <c r="K71" s="2">
        <v>10001</v>
      </c>
      <c r="L71" s="2" t="s">
        <v>128</v>
      </c>
      <c r="M71" s="2" t="s">
        <v>392</v>
      </c>
      <c r="N71" s="2" t="s">
        <v>18</v>
      </c>
      <c r="O71" s="2" t="s">
        <v>110</v>
      </c>
      <c r="P71" s="2" t="s">
        <v>393</v>
      </c>
      <c r="Q71" s="4">
        <v>1145.35</v>
      </c>
      <c r="R71" s="5">
        <v>2</v>
      </c>
      <c r="S71" s="6">
        <v>0.3</v>
      </c>
      <c r="T71" s="4">
        <v>-28.79</v>
      </c>
      <c r="U71" s="7">
        <f t="shared" si="4"/>
        <v>-0.0251364211812983</v>
      </c>
      <c r="V71" s="2" t="str">
        <f t="shared" si="5"/>
        <v>High Sales</v>
      </c>
      <c r="W71" t="str">
        <f t="shared" si="6"/>
        <v>Sep</v>
      </c>
      <c r="X71" t="str">
        <f t="shared" si="7"/>
        <v>Q3</v>
      </c>
    </row>
    <row r="72" spans="1:24">
      <c r="A72" s="2" t="s">
        <v>394</v>
      </c>
      <c r="B72" s="3">
        <v>43619</v>
      </c>
      <c r="C72" s="3">
        <v>43620</v>
      </c>
      <c r="D72" s="2" t="s">
        <v>57</v>
      </c>
      <c r="E72" s="2" t="s">
        <v>395</v>
      </c>
      <c r="F72" s="2" t="s">
        <v>173</v>
      </c>
      <c r="G72" s="2" t="s">
        <v>16</v>
      </c>
      <c r="H72" s="2" t="s">
        <v>60</v>
      </c>
      <c r="I72" s="2" t="s">
        <v>126</v>
      </c>
      <c r="J72" s="2" t="s">
        <v>127</v>
      </c>
      <c r="K72" s="2">
        <v>10001</v>
      </c>
      <c r="L72" s="2" t="s">
        <v>128</v>
      </c>
      <c r="M72" s="2" t="s">
        <v>396</v>
      </c>
      <c r="N72" s="2" t="s">
        <v>12</v>
      </c>
      <c r="O72" s="2" t="s">
        <v>81</v>
      </c>
      <c r="P72" s="2" t="s">
        <v>397</v>
      </c>
      <c r="Q72" s="4">
        <v>806.13</v>
      </c>
      <c r="R72" s="5">
        <v>10</v>
      </c>
      <c r="S72" s="6">
        <v>0.1</v>
      </c>
      <c r="T72" s="4">
        <v>-18.95</v>
      </c>
      <c r="U72" s="7">
        <f t="shared" si="4"/>
        <v>-0.0235073747410467</v>
      </c>
      <c r="V72" s="2" t="str">
        <f t="shared" si="5"/>
        <v>High Sales</v>
      </c>
      <c r="W72" t="str">
        <f t="shared" si="6"/>
        <v>Jun</v>
      </c>
      <c r="X72" t="str">
        <f t="shared" si="7"/>
        <v>Q2</v>
      </c>
    </row>
    <row r="73" spans="1:24">
      <c r="A73" s="2" t="s">
        <v>398</v>
      </c>
      <c r="B73" s="3">
        <v>43506</v>
      </c>
      <c r="C73" s="3">
        <v>43511</v>
      </c>
      <c r="D73" s="2" t="s">
        <v>94</v>
      </c>
      <c r="E73" s="2" t="s">
        <v>399</v>
      </c>
      <c r="F73" s="2" t="s">
        <v>205</v>
      </c>
      <c r="G73" s="2" t="s">
        <v>13</v>
      </c>
      <c r="H73" s="2" t="s">
        <v>60</v>
      </c>
      <c r="I73" s="2" t="s">
        <v>69</v>
      </c>
      <c r="J73" s="2" t="s">
        <v>70</v>
      </c>
      <c r="K73" s="2">
        <v>10001</v>
      </c>
      <c r="L73" s="2" t="s">
        <v>14</v>
      </c>
      <c r="M73" s="2" t="s">
        <v>400</v>
      </c>
      <c r="N73" s="2" t="s">
        <v>15</v>
      </c>
      <c r="O73" s="2" t="s">
        <v>148</v>
      </c>
      <c r="P73" s="2" t="s">
        <v>401</v>
      </c>
      <c r="Q73" s="4">
        <v>964.1</v>
      </c>
      <c r="R73" s="5">
        <v>8</v>
      </c>
      <c r="S73" s="6">
        <v>0.2</v>
      </c>
      <c r="T73" s="4">
        <v>192.9</v>
      </c>
      <c r="U73" s="7">
        <f t="shared" si="4"/>
        <v>0.200082978944093</v>
      </c>
      <c r="V73" s="2" t="str">
        <f t="shared" si="5"/>
        <v>High Sales</v>
      </c>
      <c r="W73" t="str">
        <f t="shared" si="6"/>
        <v>Feb</v>
      </c>
      <c r="X73" t="str">
        <f t="shared" si="7"/>
        <v>Q1</v>
      </c>
    </row>
    <row r="74" spans="1:24">
      <c r="A74" s="2" t="s">
        <v>402</v>
      </c>
      <c r="B74" s="3">
        <v>43704</v>
      </c>
      <c r="C74" s="3">
        <v>43707</v>
      </c>
      <c r="D74" s="2" t="s">
        <v>133</v>
      </c>
      <c r="E74" s="2" t="s">
        <v>403</v>
      </c>
      <c r="F74" s="2" t="s">
        <v>141</v>
      </c>
      <c r="G74" s="2" t="s">
        <v>16</v>
      </c>
      <c r="H74" s="2" t="s">
        <v>60</v>
      </c>
      <c r="I74" s="2" t="s">
        <v>126</v>
      </c>
      <c r="J74" s="2" t="s">
        <v>127</v>
      </c>
      <c r="K74" s="2">
        <v>10001</v>
      </c>
      <c r="L74" s="2" t="s">
        <v>128</v>
      </c>
      <c r="M74" s="2" t="s">
        <v>404</v>
      </c>
      <c r="N74" s="2" t="s">
        <v>15</v>
      </c>
      <c r="O74" s="2" t="s">
        <v>104</v>
      </c>
      <c r="P74" s="2" t="s">
        <v>405</v>
      </c>
      <c r="Q74" s="4">
        <v>1271.05</v>
      </c>
      <c r="R74" s="5">
        <v>4</v>
      </c>
      <c r="S74" s="6">
        <v>0.3</v>
      </c>
      <c r="T74" s="4">
        <v>360.98</v>
      </c>
      <c r="U74" s="7">
        <f t="shared" si="4"/>
        <v>0.284001416152</v>
      </c>
      <c r="V74" s="2" t="str">
        <f t="shared" si="5"/>
        <v>High Sales</v>
      </c>
      <c r="W74" t="str">
        <f t="shared" si="6"/>
        <v>Aug</v>
      </c>
      <c r="X74" t="str">
        <f t="shared" si="7"/>
        <v>Q3</v>
      </c>
    </row>
    <row r="75" spans="1:24">
      <c r="A75" s="2" t="s">
        <v>406</v>
      </c>
      <c r="B75" s="3">
        <v>43520</v>
      </c>
      <c r="C75" s="3">
        <v>43522</v>
      </c>
      <c r="D75" s="2" t="s">
        <v>94</v>
      </c>
      <c r="E75" s="2" t="s">
        <v>407</v>
      </c>
      <c r="F75" s="2" t="s">
        <v>187</v>
      </c>
      <c r="G75" s="2" t="s">
        <v>19</v>
      </c>
      <c r="H75" s="2" t="s">
        <v>60</v>
      </c>
      <c r="I75" s="2" t="s">
        <v>126</v>
      </c>
      <c r="J75" s="2" t="s">
        <v>127</v>
      </c>
      <c r="K75" s="2">
        <v>10001</v>
      </c>
      <c r="L75" s="2" t="s">
        <v>128</v>
      </c>
      <c r="M75" s="2" t="s">
        <v>408</v>
      </c>
      <c r="N75" s="2" t="s">
        <v>15</v>
      </c>
      <c r="O75" s="2" t="s">
        <v>98</v>
      </c>
      <c r="P75" s="2" t="s">
        <v>409</v>
      </c>
      <c r="Q75" s="4">
        <v>605.79</v>
      </c>
      <c r="R75" s="5">
        <v>1</v>
      </c>
      <c r="S75" s="6">
        <v>0</v>
      </c>
      <c r="T75" s="4">
        <v>187.66</v>
      </c>
      <c r="U75" s="7">
        <f t="shared" si="4"/>
        <v>0.309777315571403</v>
      </c>
      <c r="V75" s="2" t="str">
        <f t="shared" si="5"/>
        <v>High Sales</v>
      </c>
      <c r="W75" t="str">
        <f t="shared" si="6"/>
        <v>Feb</v>
      </c>
      <c r="X75" t="str">
        <f t="shared" si="7"/>
        <v>Q1</v>
      </c>
    </row>
    <row r="76" spans="1:24">
      <c r="A76" s="2" t="s">
        <v>410</v>
      </c>
      <c r="B76" s="3">
        <v>43720</v>
      </c>
      <c r="C76" s="3">
        <v>43723</v>
      </c>
      <c r="D76" s="2" t="s">
        <v>133</v>
      </c>
      <c r="E76" s="2" t="s">
        <v>411</v>
      </c>
      <c r="F76" s="2" t="s">
        <v>187</v>
      </c>
      <c r="G76" s="2" t="s">
        <v>13</v>
      </c>
      <c r="H76" s="2" t="s">
        <v>60</v>
      </c>
      <c r="I76" s="2" t="s">
        <v>61</v>
      </c>
      <c r="J76" s="2" t="s">
        <v>62</v>
      </c>
      <c r="K76" s="2">
        <v>10001</v>
      </c>
      <c r="L76" s="2" t="s">
        <v>17</v>
      </c>
      <c r="M76" s="2" t="s">
        <v>412</v>
      </c>
      <c r="N76" s="2" t="s">
        <v>15</v>
      </c>
      <c r="O76" s="2" t="s">
        <v>98</v>
      </c>
      <c r="P76" s="2" t="s">
        <v>413</v>
      </c>
      <c r="Q76" s="4">
        <v>163.8</v>
      </c>
      <c r="R76" s="5">
        <v>1</v>
      </c>
      <c r="S76" s="6">
        <v>0.2</v>
      </c>
      <c r="T76" s="4">
        <v>41.75</v>
      </c>
      <c r="U76" s="7">
        <f t="shared" si="4"/>
        <v>0.254884004884005</v>
      </c>
      <c r="V76" s="2" t="str">
        <f t="shared" si="5"/>
        <v>Standard Sales</v>
      </c>
      <c r="W76" t="str">
        <f t="shared" si="6"/>
        <v>Sep</v>
      </c>
      <c r="X76" t="str">
        <f t="shared" si="7"/>
        <v>Q3</v>
      </c>
    </row>
    <row r="77" spans="1:24">
      <c r="A77" s="2" t="s">
        <v>414</v>
      </c>
      <c r="B77" s="3">
        <v>43483</v>
      </c>
      <c r="C77" s="3">
        <v>43488</v>
      </c>
      <c r="D77" s="2" t="s">
        <v>75</v>
      </c>
      <c r="E77" s="2" t="s">
        <v>415</v>
      </c>
      <c r="F77" s="2" t="s">
        <v>77</v>
      </c>
      <c r="G77" s="2" t="s">
        <v>16</v>
      </c>
      <c r="H77" s="2" t="s">
        <v>60</v>
      </c>
      <c r="I77" s="2" t="s">
        <v>126</v>
      </c>
      <c r="J77" s="2" t="s">
        <v>127</v>
      </c>
      <c r="K77" s="2">
        <v>10001</v>
      </c>
      <c r="L77" s="2" t="s">
        <v>128</v>
      </c>
      <c r="M77" s="2" t="s">
        <v>416</v>
      </c>
      <c r="N77" s="2" t="s">
        <v>15</v>
      </c>
      <c r="O77" s="2" t="s">
        <v>104</v>
      </c>
      <c r="P77" s="2" t="s">
        <v>417</v>
      </c>
      <c r="Q77" s="4">
        <v>215.6</v>
      </c>
      <c r="R77" s="5">
        <v>9</v>
      </c>
      <c r="S77" s="6">
        <v>0.2</v>
      </c>
      <c r="T77" s="4">
        <v>29.94</v>
      </c>
      <c r="U77" s="7">
        <f t="shared" si="4"/>
        <v>0.13886827458256</v>
      </c>
      <c r="V77" s="2" t="str">
        <f t="shared" si="5"/>
        <v>Standard Sales</v>
      </c>
      <c r="W77" t="str">
        <f t="shared" si="6"/>
        <v>Jan</v>
      </c>
      <c r="X77" t="str">
        <f t="shared" si="7"/>
        <v>Q1</v>
      </c>
    </row>
    <row r="78" spans="1:24">
      <c r="A78" s="2" t="s">
        <v>418</v>
      </c>
      <c r="B78" s="3">
        <v>43605</v>
      </c>
      <c r="C78" s="3">
        <v>43607</v>
      </c>
      <c r="D78" s="2" t="s">
        <v>75</v>
      </c>
      <c r="E78" s="2" t="s">
        <v>419</v>
      </c>
      <c r="F78" s="2" t="s">
        <v>420</v>
      </c>
      <c r="G78" s="2" t="s">
        <v>19</v>
      </c>
      <c r="H78" s="2" t="s">
        <v>60</v>
      </c>
      <c r="I78" s="2" t="s">
        <v>126</v>
      </c>
      <c r="J78" s="2" t="s">
        <v>127</v>
      </c>
      <c r="K78" s="2">
        <v>10001</v>
      </c>
      <c r="L78" s="2" t="s">
        <v>128</v>
      </c>
      <c r="M78" s="2" t="s">
        <v>421</v>
      </c>
      <c r="N78" s="2" t="s">
        <v>18</v>
      </c>
      <c r="O78" s="2" t="s">
        <v>72</v>
      </c>
      <c r="P78" s="2" t="s">
        <v>422</v>
      </c>
      <c r="Q78" s="4">
        <v>1136.14</v>
      </c>
      <c r="R78" s="5">
        <v>4</v>
      </c>
      <c r="S78" s="6">
        <v>0.3</v>
      </c>
      <c r="T78" s="4">
        <v>380.92</v>
      </c>
      <c r="U78" s="7">
        <f t="shared" si="4"/>
        <v>0.335275582234584</v>
      </c>
      <c r="V78" s="2" t="str">
        <f t="shared" si="5"/>
        <v>High Sales</v>
      </c>
      <c r="W78" t="str">
        <f t="shared" si="6"/>
        <v>May</v>
      </c>
      <c r="X78" t="str">
        <f t="shared" si="7"/>
        <v>Q2</v>
      </c>
    </row>
    <row r="79" spans="1:24">
      <c r="A79" s="2" t="s">
        <v>423</v>
      </c>
      <c r="B79" s="3">
        <v>43751</v>
      </c>
      <c r="C79" s="3">
        <v>43754</v>
      </c>
      <c r="D79" s="2" t="s">
        <v>57</v>
      </c>
      <c r="E79" s="2" t="s">
        <v>424</v>
      </c>
      <c r="F79" s="2" t="s">
        <v>114</v>
      </c>
      <c r="G79" s="2" t="s">
        <v>16</v>
      </c>
      <c r="H79" s="2" t="s">
        <v>60</v>
      </c>
      <c r="I79" s="2" t="s">
        <v>78</v>
      </c>
      <c r="J79" s="2" t="s">
        <v>79</v>
      </c>
      <c r="K79" s="2">
        <v>10001</v>
      </c>
      <c r="L79" s="2" t="s">
        <v>11</v>
      </c>
      <c r="M79" s="2" t="s">
        <v>425</v>
      </c>
      <c r="N79" s="2" t="s">
        <v>12</v>
      </c>
      <c r="O79" s="2" t="s">
        <v>81</v>
      </c>
      <c r="P79" s="2" t="s">
        <v>426</v>
      </c>
      <c r="Q79" s="4">
        <v>583.92</v>
      </c>
      <c r="R79" s="5">
        <v>6</v>
      </c>
      <c r="S79" s="6">
        <v>0</v>
      </c>
      <c r="T79" s="4">
        <v>118.93</v>
      </c>
      <c r="U79" s="7">
        <f t="shared" si="4"/>
        <v>0.203675160980956</v>
      </c>
      <c r="V79" s="2" t="str">
        <f t="shared" si="5"/>
        <v>High Sales</v>
      </c>
      <c r="W79" t="str">
        <f t="shared" si="6"/>
        <v>Oct</v>
      </c>
      <c r="X79" t="str">
        <f t="shared" si="7"/>
        <v>Q4</v>
      </c>
    </row>
    <row r="80" spans="1:24">
      <c r="A80" s="2" t="s">
        <v>427</v>
      </c>
      <c r="B80" s="3">
        <v>43707</v>
      </c>
      <c r="C80" s="3">
        <v>43708</v>
      </c>
      <c r="D80" s="2" t="s">
        <v>75</v>
      </c>
      <c r="E80" s="2" t="s">
        <v>428</v>
      </c>
      <c r="F80" s="2" t="s">
        <v>108</v>
      </c>
      <c r="G80" s="2" t="s">
        <v>19</v>
      </c>
      <c r="H80" s="2" t="s">
        <v>60</v>
      </c>
      <c r="I80" s="2" t="s">
        <v>78</v>
      </c>
      <c r="J80" s="2" t="s">
        <v>79</v>
      </c>
      <c r="K80" s="2">
        <v>10001</v>
      </c>
      <c r="L80" s="2" t="s">
        <v>11</v>
      </c>
      <c r="M80" s="2" t="s">
        <v>429</v>
      </c>
      <c r="N80" s="2" t="s">
        <v>15</v>
      </c>
      <c r="O80" s="2" t="s">
        <v>104</v>
      </c>
      <c r="P80" s="2" t="s">
        <v>430</v>
      </c>
      <c r="Q80" s="4">
        <v>624.28</v>
      </c>
      <c r="R80" s="5">
        <v>3</v>
      </c>
      <c r="S80" s="6">
        <v>0</v>
      </c>
      <c r="T80" s="4">
        <v>203.4</v>
      </c>
      <c r="U80" s="7">
        <f t="shared" si="4"/>
        <v>0.32581533927084</v>
      </c>
      <c r="V80" s="2" t="str">
        <f t="shared" si="5"/>
        <v>High Sales</v>
      </c>
      <c r="W80" t="str">
        <f t="shared" si="6"/>
        <v>Aug</v>
      </c>
      <c r="X80" t="str">
        <f t="shared" si="7"/>
        <v>Q3</v>
      </c>
    </row>
    <row r="81" spans="1:24">
      <c r="A81" s="2" t="s">
        <v>431</v>
      </c>
      <c r="B81" s="3">
        <v>43621</v>
      </c>
      <c r="C81" s="3">
        <v>43625</v>
      </c>
      <c r="D81" s="2" t="s">
        <v>57</v>
      </c>
      <c r="E81" s="2" t="s">
        <v>432</v>
      </c>
      <c r="F81" s="2" t="s">
        <v>59</v>
      </c>
      <c r="G81" s="2" t="s">
        <v>19</v>
      </c>
      <c r="H81" s="2" t="s">
        <v>60</v>
      </c>
      <c r="I81" s="2" t="s">
        <v>61</v>
      </c>
      <c r="J81" s="2" t="s">
        <v>62</v>
      </c>
      <c r="K81" s="2">
        <v>10001</v>
      </c>
      <c r="L81" s="2" t="s">
        <v>17</v>
      </c>
      <c r="M81" s="2" t="s">
        <v>433</v>
      </c>
      <c r="N81" s="2" t="s">
        <v>12</v>
      </c>
      <c r="O81" s="2" t="s">
        <v>81</v>
      </c>
      <c r="P81" s="2" t="s">
        <v>92</v>
      </c>
      <c r="Q81" s="4">
        <v>1425.08</v>
      </c>
      <c r="R81" s="5">
        <v>9</v>
      </c>
      <c r="S81" s="6">
        <v>0.3</v>
      </c>
      <c r="T81" s="4">
        <v>234.15</v>
      </c>
      <c r="U81" s="7">
        <f t="shared" si="4"/>
        <v>0.16430656524546</v>
      </c>
      <c r="V81" s="2" t="str">
        <f t="shared" si="5"/>
        <v>High Sales</v>
      </c>
      <c r="W81" t="str">
        <f t="shared" si="6"/>
        <v>Jun</v>
      </c>
      <c r="X81" t="str">
        <f t="shared" si="7"/>
        <v>Q2</v>
      </c>
    </row>
    <row r="82" spans="1:24">
      <c r="A82" s="2" t="s">
        <v>434</v>
      </c>
      <c r="B82" s="3">
        <v>43545</v>
      </c>
      <c r="C82" s="3">
        <v>43549</v>
      </c>
      <c r="D82" s="2" t="s">
        <v>57</v>
      </c>
      <c r="E82" s="2" t="s">
        <v>435</v>
      </c>
      <c r="F82" s="2" t="s">
        <v>85</v>
      </c>
      <c r="G82" s="2" t="s">
        <v>16</v>
      </c>
      <c r="H82" s="2" t="s">
        <v>60</v>
      </c>
      <c r="I82" s="2" t="s">
        <v>126</v>
      </c>
      <c r="J82" s="2" t="s">
        <v>127</v>
      </c>
      <c r="K82" s="2">
        <v>10001</v>
      </c>
      <c r="L82" s="2" t="s">
        <v>128</v>
      </c>
      <c r="M82" s="2" t="s">
        <v>436</v>
      </c>
      <c r="N82" s="2" t="s">
        <v>18</v>
      </c>
      <c r="O82" s="2" t="s">
        <v>320</v>
      </c>
      <c r="P82" s="2" t="s">
        <v>437</v>
      </c>
      <c r="Q82" s="4">
        <v>678.15</v>
      </c>
      <c r="R82" s="5">
        <v>4</v>
      </c>
      <c r="S82" s="6">
        <v>0.2</v>
      </c>
      <c r="T82" s="4">
        <v>-37.5</v>
      </c>
      <c r="U82" s="7">
        <f t="shared" si="4"/>
        <v>-0.055297500552975</v>
      </c>
      <c r="V82" s="2" t="str">
        <f t="shared" si="5"/>
        <v>High Sales</v>
      </c>
      <c r="W82" t="str">
        <f t="shared" si="6"/>
        <v>Mar</v>
      </c>
      <c r="X82" t="str">
        <f t="shared" si="7"/>
        <v>Q1</v>
      </c>
    </row>
    <row r="83" spans="1:24">
      <c r="A83" s="2" t="s">
        <v>438</v>
      </c>
      <c r="B83" s="3">
        <v>43817</v>
      </c>
      <c r="C83" s="3">
        <v>43820</v>
      </c>
      <c r="D83" s="2" t="s">
        <v>75</v>
      </c>
      <c r="E83" s="2" t="s">
        <v>439</v>
      </c>
      <c r="F83" s="2" t="s">
        <v>182</v>
      </c>
      <c r="G83" s="2" t="s">
        <v>16</v>
      </c>
      <c r="H83" s="2" t="s">
        <v>60</v>
      </c>
      <c r="I83" s="2" t="s">
        <v>61</v>
      </c>
      <c r="J83" s="2" t="s">
        <v>62</v>
      </c>
      <c r="K83" s="2">
        <v>10001</v>
      </c>
      <c r="L83" s="2" t="s">
        <v>17</v>
      </c>
      <c r="M83" s="2" t="s">
        <v>440</v>
      </c>
      <c r="N83" s="2" t="s">
        <v>18</v>
      </c>
      <c r="O83" s="2" t="s">
        <v>72</v>
      </c>
      <c r="P83" s="2" t="s">
        <v>441</v>
      </c>
      <c r="Q83" s="4">
        <v>333.92</v>
      </c>
      <c r="R83" s="5">
        <v>10</v>
      </c>
      <c r="S83" s="6">
        <v>0</v>
      </c>
      <c r="T83" s="4">
        <v>-25.79</v>
      </c>
      <c r="U83" s="7">
        <f t="shared" si="4"/>
        <v>-0.0772340680402492</v>
      </c>
      <c r="V83" s="2" t="str">
        <f t="shared" si="5"/>
        <v>Standard Sales</v>
      </c>
      <c r="W83" t="str">
        <f t="shared" si="6"/>
        <v>Dec</v>
      </c>
      <c r="X83" t="str">
        <f t="shared" si="7"/>
        <v>Q4</v>
      </c>
    </row>
    <row r="84" spans="1:24">
      <c r="A84" s="2" t="s">
        <v>442</v>
      </c>
      <c r="B84" s="3">
        <v>43636</v>
      </c>
      <c r="C84" s="3">
        <v>43638</v>
      </c>
      <c r="D84" s="2" t="s">
        <v>133</v>
      </c>
      <c r="E84" s="2" t="s">
        <v>443</v>
      </c>
      <c r="F84" s="2" t="s">
        <v>444</v>
      </c>
      <c r="G84" s="2" t="s">
        <v>13</v>
      </c>
      <c r="H84" s="2" t="s">
        <v>60</v>
      </c>
      <c r="I84" s="2" t="s">
        <v>61</v>
      </c>
      <c r="J84" s="2" t="s">
        <v>62</v>
      </c>
      <c r="K84" s="2">
        <v>10001</v>
      </c>
      <c r="L84" s="2" t="s">
        <v>17</v>
      </c>
      <c r="M84" s="2" t="s">
        <v>445</v>
      </c>
      <c r="N84" s="2" t="s">
        <v>15</v>
      </c>
      <c r="O84" s="2" t="s">
        <v>148</v>
      </c>
      <c r="P84" s="2" t="s">
        <v>446</v>
      </c>
      <c r="Q84" s="4">
        <v>1166.07</v>
      </c>
      <c r="R84" s="5">
        <v>10</v>
      </c>
      <c r="S84" s="6">
        <v>0</v>
      </c>
      <c r="T84" s="4">
        <v>28.89</v>
      </c>
      <c r="U84" s="7">
        <f t="shared" si="4"/>
        <v>0.0247755280557771</v>
      </c>
      <c r="V84" s="2" t="str">
        <f t="shared" si="5"/>
        <v>High Sales</v>
      </c>
      <c r="W84" t="str">
        <f t="shared" si="6"/>
        <v>Jun</v>
      </c>
      <c r="X84" t="str">
        <f t="shared" si="7"/>
        <v>Q2</v>
      </c>
    </row>
    <row r="85" spans="1:24">
      <c r="A85" s="2" t="s">
        <v>447</v>
      </c>
      <c r="B85" s="3">
        <v>43540</v>
      </c>
      <c r="C85" s="3">
        <v>43542</v>
      </c>
      <c r="D85" s="2" t="s">
        <v>75</v>
      </c>
      <c r="E85" s="2" t="s">
        <v>448</v>
      </c>
      <c r="F85" s="2" t="s">
        <v>219</v>
      </c>
      <c r="G85" s="2" t="s">
        <v>19</v>
      </c>
      <c r="H85" s="2" t="s">
        <v>60</v>
      </c>
      <c r="I85" s="2" t="s">
        <v>78</v>
      </c>
      <c r="J85" s="2" t="s">
        <v>79</v>
      </c>
      <c r="K85" s="2">
        <v>10001</v>
      </c>
      <c r="L85" s="2" t="s">
        <v>11</v>
      </c>
      <c r="M85" s="2" t="s">
        <v>449</v>
      </c>
      <c r="N85" s="2" t="s">
        <v>18</v>
      </c>
      <c r="O85" s="2" t="s">
        <v>110</v>
      </c>
      <c r="P85" s="2" t="s">
        <v>450</v>
      </c>
      <c r="Q85" s="4">
        <v>891.5</v>
      </c>
      <c r="R85" s="5">
        <v>1</v>
      </c>
      <c r="S85" s="6">
        <v>0.1</v>
      </c>
      <c r="T85" s="4">
        <v>17.31</v>
      </c>
      <c r="U85" s="7">
        <f t="shared" si="4"/>
        <v>0.0194167134043746</v>
      </c>
      <c r="V85" s="2" t="str">
        <f t="shared" si="5"/>
        <v>High Sales</v>
      </c>
      <c r="W85" t="str">
        <f t="shared" si="6"/>
        <v>Mar</v>
      </c>
      <c r="X85" t="str">
        <f t="shared" si="7"/>
        <v>Q1</v>
      </c>
    </row>
    <row r="86" spans="1:24">
      <c r="A86" s="2" t="s">
        <v>451</v>
      </c>
      <c r="B86" s="3">
        <v>43530</v>
      </c>
      <c r="C86" s="3">
        <v>43534</v>
      </c>
      <c r="D86" s="2" t="s">
        <v>57</v>
      </c>
      <c r="E86" s="2" t="s">
        <v>452</v>
      </c>
      <c r="F86" s="2" t="s">
        <v>152</v>
      </c>
      <c r="G86" s="2" t="s">
        <v>16</v>
      </c>
      <c r="H86" s="2" t="s">
        <v>60</v>
      </c>
      <c r="I86" s="2" t="s">
        <v>126</v>
      </c>
      <c r="J86" s="2" t="s">
        <v>127</v>
      </c>
      <c r="K86" s="2">
        <v>10001</v>
      </c>
      <c r="L86" s="2" t="s">
        <v>128</v>
      </c>
      <c r="M86" s="2" t="s">
        <v>453</v>
      </c>
      <c r="N86" s="2" t="s">
        <v>15</v>
      </c>
      <c r="O86" s="2" t="s">
        <v>116</v>
      </c>
      <c r="P86" s="2" t="s">
        <v>454</v>
      </c>
      <c r="Q86" s="4">
        <v>765.68</v>
      </c>
      <c r="R86" s="5">
        <v>10</v>
      </c>
      <c r="S86" s="6">
        <v>0</v>
      </c>
      <c r="T86" s="4">
        <v>174.01</v>
      </c>
      <c r="U86" s="7">
        <f t="shared" si="4"/>
        <v>0.227262041583952</v>
      </c>
      <c r="V86" s="2" t="str">
        <f t="shared" si="5"/>
        <v>High Sales</v>
      </c>
      <c r="W86" t="str">
        <f t="shared" si="6"/>
        <v>Mar</v>
      </c>
      <c r="X86" t="str">
        <f t="shared" si="7"/>
        <v>Q1</v>
      </c>
    </row>
    <row r="87" spans="1:24">
      <c r="A87" s="2" t="s">
        <v>455</v>
      </c>
      <c r="B87" s="3">
        <v>43803</v>
      </c>
      <c r="C87" s="3">
        <v>43808</v>
      </c>
      <c r="D87" s="2" t="s">
        <v>75</v>
      </c>
      <c r="E87" s="2" t="s">
        <v>456</v>
      </c>
      <c r="F87" s="2" t="s">
        <v>102</v>
      </c>
      <c r="G87" s="2" t="s">
        <v>13</v>
      </c>
      <c r="H87" s="2" t="s">
        <v>60</v>
      </c>
      <c r="I87" s="2" t="s">
        <v>78</v>
      </c>
      <c r="J87" s="2" t="s">
        <v>79</v>
      </c>
      <c r="K87" s="2">
        <v>10001</v>
      </c>
      <c r="L87" s="2" t="s">
        <v>11</v>
      </c>
      <c r="M87" s="2" t="s">
        <v>457</v>
      </c>
      <c r="N87" s="2" t="s">
        <v>12</v>
      </c>
      <c r="O87" s="2" t="s">
        <v>81</v>
      </c>
      <c r="P87" s="2" t="s">
        <v>458</v>
      </c>
      <c r="Q87" s="4">
        <v>179.78</v>
      </c>
      <c r="R87" s="5">
        <v>8</v>
      </c>
      <c r="S87" s="6">
        <v>0</v>
      </c>
      <c r="T87" s="4">
        <v>54.77</v>
      </c>
      <c r="U87" s="7">
        <f t="shared" si="4"/>
        <v>0.304650127934142</v>
      </c>
      <c r="V87" s="2" t="str">
        <f t="shared" si="5"/>
        <v>Standard Sales</v>
      </c>
      <c r="W87" t="str">
        <f t="shared" si="6"/>
        <v>Dec</v>
      </c>
      <c r="X87" t="str">
        <f t="shared" si="7"/>
        <v>Q4</v>
      </c>
    </row>
    <row r="88" spans="1:24">
      <c r="A88" s="2" t="s">
        <v>459</v>
      </c>
      <c r="B88" s="3">
        <v>43630</v>
      </c>
      <c r="C88" s="3">
        <v>43635</v>
      </c>
      <c r="D88" s="2" t="s">
        <v>133</v>
      </c>
      <c r="E88" s="2" t="s">
        <v>460</v>
      </c>
      <c r="F88" s="2" t="s">
        <v>383</v>
      </c>
      <c r="G88" s="2" t="s">
        <v>16</v>
      </c>
      <c r="H88" s="2" t="s">
        <v>60</v>
      </c>
      <c r="I88" s="2" t="s">
        <v>126</v>
      </c>
      <c r="J88" s="2" t="s">
        <v>127</v>
      </c>
      <c r="K88" s="2">
        <v>10001</v>
      </c>
      <c r="L88" s="2" t="s">
        <v>128</v>
      </c>
      <c r="M88" s="2" t="s">
        <v>461</v>
      </c>
      <c r="N88" s="2" t="s">
        <v>12</v>
      </c>
      <c r="O88" s="2" t="s">
        <v>137</v>
      </c>
      <c r="P88" s="2" t="s">
        <v>462</v>
      </c>
      <c r="Q88" s="4">
        <v>691.5</v>
      </c>
      <c r="R88" s="5">
        <v>10</v>
      </c>
      <c r="S88" s="6">
        <v>0.3</v>
      </c>
      <c r="T88" s="4">
        <v>-38.29</v>
      </c>
      <c r="U88" s="7">
        <f t="shared" si="4"/>
        <v>-0.0553723788864787</v>
      </c>
      <c r="V88" s="2" t="str">
        <f t="shared" si="5"/>
        <v>High Sales</v>
      </c>
      <c r="W88" t="str">
        <f t="shared" si="6"/>
        <v>Jun</v>
      </c>
      <c r="X88" t="str">
        <f t="shared" si="7"/>
        <v>Q2</v>
      </c>
    </row>
    <row r="89" spans="1:24">
      <c r="A89" s="2" t="s">
        <v>463</v>
      </c>
      <c r="B89" s="3">
        <v>43825</v>
      </c>
      <c r="C89" s="3">
        <v>43826</v>
      </c>
      <c r="D89" s="2" t="s">
        <v>133</v>
      </c>
      <c r="E89" s="2" t="s">
        <v>464</v>
      </c>
      <c r="F89" s="2" t="s">
        <v>141</v>
      </c>
      <c r="G89" s="2" t="s">
        <v>13</v>
      </c>
      <c r="H89" s="2" t="s">
        <v>60</v>
      </c>
      <c r="I89" s="2" t="s">
        <v>69</v>
      </c>
      <c r="J89" s="2" t="s">
        <v>70</v>
      </c>
      <c r="K89" s="2">
        <v>10001</v>
      </c>
      <c r="L89" s="2" t="s">
        <v>14</v>
      </c>
      <c r="M89" s="2" t="s">
        <v>465</v>
      </c>
      <c r="N89" s="2" t="s">
        <v>12</v>
      </c>
      <c r="O89" s="2" t="s">
        <v>81</v>
      </c>
      <c r="P89" s="2" t="s">
        <v>466</v>
      </c>
      <c r="Q89" s="4">
        <v>1099.83</v>
      </c>
      <c r="R89" s="5">
        <v>6</v>
      </c>
      <c r="S89" s="6">
        <v>0.3</v>
      </c>
      <c r="T89" s="4">
        <v>44.69</v>
      </c>
      <c r="U89" s="7">
        <f t="shared" si="4"/>
        <v>0.0406335524581072</v>
      </c>
      <c r="V89" s="2" t="str">
        <f t="shared" si="5"/>
        <v>High Sales</v>
      </c>
      <c r="W89" t="str">
        <f t="shared" si="6"/>
        <v>Dec</v>
      </c>
      <c r="X89" t="str">
        <f t="shared" si="7"/>
        <v>Q4</v>
      </c>
    </row>
    <row r="90" spans="1:24">
      <c r="A90" s="2" t="s">
        <v>467</v>
      </c>
      <c r="B90" s="3">
        <v>43596</v>
      </c>
      <c r="C90" s="3">
        <v>43599</v>
      </c>
      <c r="D90" s="2" t="s">
        <v>133</v>
      </c>
      <c r="E90" s="2" t="s">
        <v>468</v>
      </c>
      <c r="F90" s="2" t="s">
        <v>200</v>
      </c>
      <c r="G90" s="2" t="s">
        <v>13</v>
      </c>
      <c r="H90" s="2" t="s">
        <v>60</v>
      </c>
      <c r="I90" s="2" t="s">
        <v>78</v>
      </c>
      <c r="J90" s="2" t="s">
        <v>79</v>
      </c>
      <c r="K90" s="2">
        <v>10001</v>
      </c>
      <c r="L90" s="2" t="s">
        <v>11</v>
      </c>
      <c r="M90" s="2" t="s">
        <v>469</v>
      </c>
      <c r="N90" s="2" t="s">
        <v>18</v>
      </c>
      <c r="O90" s="2" t="s">
        <v>72</v>
      </c>
      <c r="P90" s="2" t="s">
        <v>470</v>
      </c>
      <c r="Q90" s="4">
        <v>1113.42</v>
      </c>
      <c r="R90" s="5">
        <v>3</v>
      </c>
      <c r="S90" s="6">
        <v>0</v>
      </c>
      <c r="T90" s="4">
        <v>182.5</v>
      </c>
      <c r="U90" s="7">
        <f t="shared" si="4"/>
        <v>0.163909396274541</v>
      </c>
      <c r="V90" s="2" t="str">
        <f t="shared" si="5"/>
        <v>High Sales</v>
      </c>
      <c r="W90" t="str">
        <f t="shared" si="6"/>
        <v>May</v>
      </c>
      <c r="X90" t="str">
        <f t="shared" si="7"/>
        <v>Q2</v>
      </c>
    </row>
    <row r="91" spans="1:24">
      <c r="A91" s="2" t="s">
        <v>471</v>
      </c>
      <c r="B91" s="3">
        <v>43753</v>
      </c>
      <c r="C91" s="3">
        <v>43758</v>
      </c>
      <c r="D91" s="2" t="s">
        <v>75</v>
      </c>
      <c r="E91" s="2" t="s">
        <v>472</v>
      </c>
      <c r="F91" s="2" t="s">
        <v>219</v>
      </c>
      <c r="G91" s="2" t="s">
        <v>16</v>
      </c>
      <c r="H91" s="2" t="s">
        <v>60</v>
      </c>
      <c r="I91" s="2" t="s">
        <v>126</v>
      </c>
      <c r="J91" s="2" t="s">
        <v>127</v>
      </c>
      <c r="K91" s="2">
        <v>10001</v>
      </c>
      <c r="L91" s="2" t="s">
        <v>128</v>
      </c>
      <c r="M91" s="2" t="s">
        <v>473</v>
      </c>
      <c r="N91" s="2" t="s">
        <v>15</v>
      </c>
      <c r="O91" s="2" t="s">
        <v>104</v>
      </c>
      <c r="P91" s="2" t="s">
        <v>474</v>
      </c>
      <c r="Q91" s="4">
        <v>908.61</v>
      </c>
      <c r="R91" s="5">
        <v>6</v>
      </c>
      <c r="S91" s="6">
        <v>0</v>
      </c>
      <c r="T91" s="4">
        <v>145.44</v>
      </c>
      <c r="U91" s="7">
        <f t="shared" si="4"/>
        <v>0.160068676329778</v>
      </c>
      <c r="V91" s="2" t="str">
        <f t="shared" si="5"/>
        <v>High Sales</v>
      </c>
      <c r="W91" t="str">
        <f t="shared" si="6"/>
        <v>Oct</v>
      </c>
      <c r="X91" t="str">
        <f t="shared" si="7"/>
        <v>Q4</v>
      </c>
    </row>
    <row r="92" spans="1:24">
      <c r="A92" s="2" t="s">
        <v>475</v>
      </c>
      <c r="B92" s="3">
        <v>43574</v>
      </c>
      <c r="C92" s="3">
        <v>43576</v>
      </c>
      <c r="D92" s="2" t="s">
        <v>94</v>
      </c>
      <c r="E92" s="2" t="s">
        <v>476</v>
      </c>
      <c r="F92" s="2" t="s">
        <v>163</v>
      </c>
      <c r="G92" s="2" t="s">
        <v>16</v>
      </c>
      <c r="H92" s="2" t="s">
        <v>60</v>
      </c>
      <c r="I92" s="2" t="s">
        <v>126</v>
      </c>
      <c r="J92" s="2" t="s">
        <v>127</v>
      </c>
      <c r="K92" s="2">
        <v>10001</v>
      </c>
      <c r="L92" s="2" t="s">
        <v>128</v>
      </c>
      <c r="M92" s="2" t="s">
        <v>477</v>
      </c>
      <c r="N92" s="2" t="s">
        <v>18</v>
      </c>
      <c r="O92" s="2" t="s">
        <v>320</v>
      </c>
      <c r="P92" s="2" t="s">
        <v>478</v>
      </c>
      <c r="Q92" s="4">
        <v>1270.83</v>
      </c>
      <c r="R92" s="5">
        <v>10</v>
      </c>
      <c r="S92" s="6">
        <v>0</v>
      </c>
      <c r="T92" s="4">
        <v>221.19</v>
      </c>
      <c r="U92" s="7">
        <f t="shared" si="4"/>
        <v>0.174051604069781</v>
      </c>
      <c r="V92" s="2" t="str">
        <f t="shared" si="5"/>
        <v>High Sales</v>
      </c>
      <c r="W92" t="str">
        <f t="shared" si="6"/>
        <v>Apr</v>
      </c>
      <c r="X92" t="str">
        <f t="shared" si="7"/>
        <v>Q2</v>
      </c>
    </row>
    <row r="93" spans="1:24">
      <c r="A93" s="2" t="s">
        <v>479</v>
      </c>
      <c r="B93" s="3">
        <v>43802</v>
      </c>
      <c r="C93" s="3">
        <v>43805</v>
      </c>
      <c r="D93" s="2" t="s">
        <v>57</v>
      </c>
      <c r="E93" s="2" t="s">
        <v>480</v>
      </c>
      <c r="F93" s="2" t="s">
        <v>96</v>
      </c>
      <c r="G93" s="2" t="s">
        <v>19</v>
      </c>
      <c r="H93" s="2" t="s">
        <v>60</v>
      </c>
      <c r="I93" s="2" t="s">
        <v>126</v>
      </c>
      <c r="J93" s="2" t="s">
        <v>127</v>
      </c>
      <c r="K93" s="2">
        <v>10001</v>
      </c>
      <c r="L93" s="2" t="s">
        <v>128</v>
      </c>
      <c r="M93" s="2" t="s">
        <v>481</v>
      </c>
      <c r="N93" s="2" t="s">
        <v>12</v>
      </c>
      <c r="O93" s="2" t="s">
        <v>81</v>
      </c>
      <c r="P93" s="2" t="s">
        <v>482</v>
      </c>
      <c r="Q93" s="4">
        <v>1307.4</v>
      </c>
      <c r="R93" s="5">
        <v>10</v>
      </c>
      <c r="S93" s="6">
        <v>0.3</v>
      </c>
      <c r="T93" s="4">
        <v>-89.8</v>
      </c>
      <c r="U93" s="7">
        <f t="shared" si="4"/>
        <v>-0.0686859415634083</v>
      </c>
      <c r="V93" s="2" t="str">
        <f t="shared" si="5"/>
        <v>High Sales</v>
      </c>
      <c r="W93" t="str">
        <f t="shared" si="6"/>
        <v>Dec</v>
      </c>
      <c r="X93" t="str">
        <f t="shared" si="7"/>
        <v>Q4</v>
      </c>
    </row>
    <row r="94" spans="1:24">
      <c r="A94" s="2" t="s">
        <v>483</v>
      </c>
      <c r="B94" s="3">
        <v>43790</v>
      </c>
      <c r="C94" s="3">
        <v>43791</v>
      </c>
      <c r="D94" s="2" t="s">
        <v>57</v>
      </c>
      <c r="E94" s="2" t="s">
        <v>484</v>
      </c>
      <c r="F94" s="2" t="s">
        <v>444</v>
      </c>
      <c r="G94" s="2" t="s">
        <v>16</v>
      </c>
      <c r="H94" s="2" t="s">
        <v>60</v>
      </c>
      <c r="I94" s="2" t="s">
        <v>69</v>
      </c>
      <c r="J94" s="2" t="s">
        <v>70</v>
      </c>
      <c r="K94" s="2">
        <v>10001</v>
      </c>
      <c r="L94" s="2" t="s">
        <v>14</v>
      </c>
      <c r="M94" s="2" t="s">
        <v>485</v>
      </c>
      <c r="N94" s="2" t="s">
        <v>12</v>
      </c>
      <c r="O94" s="2" t="s">
        <v>81</v>
      </c>
      <c r="P94" s="2" t="s">
        <v>486</v>
      </c>
      <c r="Q94" s="4">
        <v>481.22</v>
      </c>
      <c r="R94" s="5">
        <v>6</v>
      </c>
      <c r="S94" s="6">
        <v>0</v>
      </c>
      <c r="T94" s="4">
        <v>143.16</v>
      </c>
      <c r="U94" s="7">
        <f t="shared" si="4"/>
        <v>0.297493869747725</v>
      </c>
      <c r="V94" s="2" t="str">
        <f t="shared" si="5"/>
        <v>Standard Sales</v>
      </c>
      <c r="W94" t="str">
        <f t="shared" si="6"/>
        <v>Nov</v>
      </c>
      <c r="X94" t="str">
        <f t="shared" si="7"/>
        <v>Q4</v>
      </c>
    </row>
    <row r="95" spans="1:24">
      <c r="A95" s="2" t="s">
        <v>487</v>
      </c>
      <c r="B95" s="3">
        <v>43545</v>
      </c>
      <c r="C95" s="3">
        <v>43547</v>
      </c>
      <c r="D95" s="2" t="s">
        <v>57</v>
      </c>
      <c r="E95" s="2" t="s">
        <v>488</v>
      </c>
      <c r="F95" s="2" t="s">
        <v>77</v>
      </c>
      <c r="G95" s="2" t="s">
        <v>16</v>
      </c>
      <c r="H95" s="2" t="s">
        <v>60</v>
      </c>
      <c r="I95" s="2" t="s">
        <v>69</v>
      </c>
      <c r="J95" s="2" t="s">
        <v>70</v>
      </c>
      <c r="K95" s="2">
        <v>10001</v>
      </c>
      <c r="L95" s="2" t="s">
        <v>14</v>
      </c>
      <c r="M95" s="2" t="s">
        <v>489</v>
      </c>
      <c r="N95" s="2" t="s">
        <v>15</v>
      </c>
      <c r="O95" s="2" t="s">
        <v>104</v>
      </c>
      <c r="P95" s="2" t="s">
        <v>490</v>
      </c>
      <c r="Q95" s="4">
        <v>674.23</v>
      </c>
      <c r="R95" s="5">
        <v>5</v>
      </c>
      <c r="S95" s="6">
        <v>0.1</v>
      </c>
      <c r="T95" s="4">
        <v>161.63</v>
      </c>
      <c r="U95" s="7">
        <f t="shared" si="4"/>
        <v>0.239725316286727</v>
      </c>
      <c r="V95" s="2" t="str">
        <f t="shared" si="5"/>
        <v>High Sales</v>
      </c>
      <c r="W95" t="str">
        <f t="shared" si="6"/>
        <v>Mar</v>
      </c>
      <c r="X95" t="str">
        <f t="shared" si="7"/>
        <v>Q1</v>
      </c>
    </row>
    <row r="96" spans="1:24">
      <c r="A96" s="2" t="s">
        <v>491</v>
      </c>
      <c r="B96" s="3">
        <v>43524</v>
      </c>
      <c r="C96" s="3">
        <v>43527</v>
      </c>
      <c r="D96" s="2" t="s">
        <v>94</v>
      </c>
      <c r="E96" s="2" t="s">
        <v>492</v>
      </c>
      <c r="F96" s="2" t="s">
        <v>420</v>
      </c>
      <c r="G96" s="2" t="s">
        <v>19</v>
      </c>
      <c r="H96" s="2" t="s">
        <v>60</v>
      </c>
      <c r="I96" s="2" t="s">
        <v>69</v>
      </c>
      <c r="J96" s="2" t="s">
        <v>70</v>
      </c>
      <c r="K96" s="2">
        <v>10001</v>
      </c>
      <c r="L96" s="2" t="s">
        <v>14</v>
      </c>
      <c r="M96" s="2" t="s">
        <v>493</v>
      </c>
      <c r="N96" s="2" t="s">
        <v>15</v>
      </c>
      <c r="O96" s="2" t="s">
        <v>98</v>
      </c>
      <c r="P96" s="2" t="s">
        <v>494</v>
      </c>
      <c r="Q96" s="4">
        <v>604.99</v>
      </c>
      <c r="R96" s="5">
        <v>10</v>
      </c>
      <c r="S96" s="6">
        <v>0</v>
      </c>
      <c r="T96" s="4">
        <v>-58.41</v>
      </c>
      <c r="U96" s="7">
        <f t="shared" si="4"/>
        <v>-0.0965470503644688</v>
      </c>
      <c r="V96" s="2" t="str">
        <f t="shared" si="5"/>
        <v>High Sales</v>
      </c>
      <c r="W96" t="str">
        <f t="shared" si="6"/>
        <v>Feb</v>
      </c>
      <c r="X96" t="str">
        <f t="shared" si="7"/>
        <v>Q1</v>
      </c>
    </row>
    <row r="97" spans="1:24">
      <c r="A97" s="2" t="s">
        <v>495</v>
      </c>
      <c r="B97" s="3">
        <v>43620</v>
      </c>
      <c r="C97" s="3">
        <v>43622</v>
      </c>
      <c r="D97" s="2" t="s">
        <v>133</v>
      </c>
      <c r="E97" s="2" t="s">
        <v>496</v>
      </c>
      <c r="F97" s="2" t="s">
        <v>420</v>
      </c>
      <c r="G97" s="2" t="s">
        <v>16</v>
      </c>
      <c r="H97" s="2" t="s">
        <v>60</v>
      </c>
      <c r="I97" s="2" t="s">
        <v>78</v>
      </c>
      <c r="J97" s="2" t="s">
        <v>79</v>
      </c>
      <c r="K97" s="2">
        <v>10001</v>
      </c>
      <c r="L97" s="2" t="s">
        <v>11</v>
      </c>
      <c r="M97" s="2" t="s">
        <v>497</v>
      </c>
      <c r="N97" s="2" t="s">
        <v>18</v>
      </c>
      <c r="O97" s="2" t="s">
        <v>72</v>
      </c>
      <c r="P97" s="2" t="s">
        <v>498</v>
      </c>
      <c r="Q97" s="4">
        <v>211.19</v>
      </c>
      <c r="R97" s="5">
        <v>9</v>
      </c>
      <c r="S97" s="6">
        <v>0.1</v>
      </c>
      <c r="T97" s="4">
        <v>26.42</v>
      </c>
      <c r="U97" s="7">
        <f t="shared" si="4"/>
        <v>0.125100620294522</v>
      </c>
      <c r="V97" s="2" t="str">
        <f t="shared" si="5"/>
        <v>Standard Sales</v>
      </c>
      <c r="W97" t="str">
        <f t="shared" si="6"/>
        <v>Jun</v>
      </c>
      <c r="X97" t="str">
        <f t="shared" si="7"/>
        <v>Q2</v>
      </c>
    </row>
    <row r="98" spans="1:24">
      <c r="A98" s="2" t="s">
        <v>499</v>
      </c>
      <c r="B98" s="3">
        <v>43808</v>
      </c>
      <c r="C98" s="3">
        <v>43811</v>
      </c>
      <c r="D98" s="2" t="s">
        <v>57</v>
      </c>
      <c r="E98" s="2" t="s">
        <v>500</v>
      </c>
      <c r="F98" s="2" t="s">
        <v>210</v>
      </c>
      <c r="G98" s="2" t="s">
        <v>13</v>
      </c>
      <c r="H98" s="2" t="s">
        <v>60</v>
      </c>
      <c r="I98" s="2" t="s">
        <v>69</v>
      </c>
      <c r="J98" s="2" t="s">
        <v>70</v>
      </c>
      <c r="K98" s="2">
        <v>10001</v>
      </c>
      <c r="L98" s="2" t="s">
        <v>14</v>
      </c>
      <c r="M98" s="2" t="s">
        <v>501</v>
      </c>
      <c r="N98" s="2" t="s">
        <v>18</v>
      </c>
      <c r="O98" s="2" t="s">
        <v>72</v>
      </c>
      <c r="P98" s="2" t="s">
        <v>502</v>
      </c>
      <c r="Q98" s="4">
        <v>872.12</v>
      </c>
      <c r="R98" s="5">
        <v>10</v>
      </c>
      <c r="S98" s="6">
        <v>0.3</v>
      </c>
      <c r="T98" s="4">
        <v>191.23</v>
      </c>
      <c r="U98" s="7">
        <f t="shared" si="4"/>
        <v>0.219270283905884</v>
      </c>
      <c r="V98" s="2" t="str">
        <f t="shared" si="5"/>
        <v>High Sales</v>
      </c>
      <c r="W98" t="str">
        <f t="shared" si="6"/>
        <v>Dec</v>
      </c>
      <c r="X98" t="str">
        <f t="shared" si="7"/>
        <v>Q4</v>
      </c>
    </row>
    <row r="99" spans="1:24">
      <c r="A99" s="2" t="s">
        <v>503</v>
      </c>
      <c r="B99" s="3">
        <v>43679</v>
      </c>
      <c r="C99" s="3">
        <v>43682</v>
      </c>
      <c r="D99" s="2" t="s">
        <v>57</v>
      </c>
      <c r="E99" s="2" t="s">
        <v>504</v>
      </c>
      <c r="F99" s="2" t="s">
        <v>125</v>
      </c>
      <c r="G99" s="2" t="s">
        <v>16</v>
      </c>
      <c r="H99" s="2" t="s">
        <v>60</v>
      </c>
      <c r="I99" s="2" t="s">
        <v>61</v>
      </c>
      <c r="J99" s="2" t="s">
        <v>62</v>
      </c>
      <c r="K99" s="2">
        <v>10001</v>
      </c>
      <c r="L99" s="2" t="s">
        <v>17</v>
      </c>
      <c r="M99" s="2" t="s">
        <v>505</v>
      </c>
      <c r="N99" s="2" t="s">
        <v>15</v>
      </c>
      <c r="O99" s="2" t="s">
        <v>104</v>
      </c>
      <c r="P99" s="2" t="s">
        <v>506</v>
      </c>
      <c r="Q99" s="4">
        <v>666.33</v>
      </c>
      <c r="R99" s="5">
        <v>2</v>
      </c>
      <c r="S99" s="6">
        <v>0.1</v>
      </c>
      <c r="T99" s="4">
        <v>64</v>
      </c>
      <c r="U99" s="7">
        <f t="shared" si="4"/>
        <v>0.0960485044947699</v>
      </c>
      <c r="V99" s="2" t="str">
        <f t="shared" si="5"/>
        <v>High Sales</v>
      </c>
      <c r="W99" t="str">
        <f t="shared" si="6"/>
        <v>Aug</v>
      </c>
      <c r="X99" t="str">
        <f t="shared" si="7"/>
        <v>Q3</v>
      </c>
    </row>
    <row r="100" spans="1:24">
      <c r="A100" s="2" t="s">
        <v>507</v>
      </c>
      <c r="B100" s="3">
        <v>43671</v>
      </c>
      <c r="C100" s="3">
        <v>43676</v>
      </c>
      <c r="D100" s="2" t="s">
        <v>57</v>
      </c>
      <c r="E100" s="2" t="s">
        <v>508</v>
      </c>
      <c r="F100" s="2" t="s">
        <v>282</v>
      </c>
      <c r="G100" s="2" t="s">
        <v>19</v>
      </c>
      <c r="H100" s="2" t="s">
        <v>60</v>
      </c>
      <c r="I100" s="2" t="s">
        <v>126</v>
      </c>
      <c r="J100" s="2" t="s">
        <v>127</v>
      </c>
      <c r="K100" s="2">
        <v>10001</v>
      </c>
      <c r="L100" s="2" t="s">
        <v>128</v>
      </c>
      <c r="M100" s="2" t="s">
        <v>509</v>
      </c>
      <c r="N100" s="2" t="s">
        <v>18</v>
      </c>
      <c r="O100" s="2" t="s">
        <v>320</v>
      </c>
      <c r="P100" s="2" t="s">
        <v>510</v>
      </c>
      <c r="Q100" s="4">
        <v>775.52</v>
      </c>
      <c r="R100" s="5">
        <v>2</v>
      </c>
      <c r="S100" s="6">
        <v>0.1</v>
      </c>
      <c r="T100" s="4">
        <v>238.6</v>
      </c>
      <c r="U100" s="7">
        <f t="shared" si="4"/>
        <v>0.307664534763771</v>
      </c>
      <c r="V100" s="2" t="str">
        <f t="shared" si="5"/>
        <v>High Sales</v>
      </c>
      <c r="W100" t="str">
        <f t="shared" si="6"/>
        <v>Jul</v>
      </c>
      <c r="X100" t="str">
        <f t="shared" si="7"/>
        <v>Q3</v>
      </c>
    </row>
    <row r="101" spans="1:24">
      <c r="A101" s="2" t="s">
        <v>511</v>
      </c>
      <c r="B101" s="3">
        <v>43644</v>
      </c>
      <c r="C101" s="3">
        <v>43647</v>
      </c>
      <c r="D101" s="2" t="s">
        <v>133</v>
      </c>
      <c r="E101" s="2" t="s">
        <v>512</v>
      </c>
      <c r="F101" s="2" t="s">
        <v>163</v>
      </c>
      <c r="G101" s="2" t="s">
        <v>13</v>
      </c>
      <c r="H101" s="2" t="s">
        <v>60</v>
      </c>
      <c r="I101" s="2" t="s">
        <v>126</v>
      </c>
      <c r="J101" s="2" t="s">
        <v>127</v>
      </c>
      <c r="K101" s="2">
        <v>10001</v>
      </c>
      <c r="L101" s="2" t="s">
        <v>128</v>
      </c>
      <c r="M101" s="2" t="s">
        <v>513</v>
      </c>
      <c r="N101" s="2" t="s">
        <v>18</v>
      </c>
      <c r="O101" s="2" t="s">
        <v>159</v>
      </c>
      <c r="P101" s="2" t="s">
        <v>514</v>
      </c>
      <c r="Q101" s="4">
        <v>1143.55</v>
      </c>
      <c r="R101" s="5">
        <v>2</v>
      </c>
      <c r="S101" s="6">
        <v>0.1</v>
      </c>
      <c r="T101" s="4">
        <v>375.18</v>
      </c>
      <c r="U101" s="7">
        <f t="shared" si="4"/>
        <v>0.328083599317914</v>
      </c>
      <c r="V101" s="2" t="str">
        <f t="shared" si="5"/>
        <v>High Sales</v>
      </c>
      <c r="W101" t="str">
        <f t="shared" si="6"/>
        <v>Jun</v>
      </c>
      <c r="X101" t="str">
        <f t="shared" si="7"/>
        <v>Q2</v>
      </c>
    </row>
    <row r="102" spans="1:24">
      <c r="A102" s="2" t="s">
        <v>515</v>
      </c>
      <c r="B102" s="3">
        <v>43787</v>
      </c>
      <c r="C102" s="3">
        <v>43791</v>
      </c>
      <c r="D102" s="2" t="s">
        <v>94</v>
      </c>
      <c r="E102" s="2" t="s">
        <v>516</v>
      </c>
      <c r="F102" s="2" t="s">
        <v>120</v>
      </c>
      <c r="G102" s="2" t="s">
        <v>19</v>
      </c>
      <c r="H102" s="2" t="s">
        <v>60</v>
      </c>
      <c r="I102" s="2" t="s">
        <v>69</v>
      </c>
      <c r="J102" s="2" t="s">
        <v>70</v>
      </c>
      <c r="K102" s="2">
        <v>10001</v>
      </c>
      <c r="L102" s="2" t="s">
        <v>14</v>
      </c>
      <c r="M102" s="2" t="s">
        <v>517</v>
      </c>
      <c r="N102" s="2" t="s">
        <v>15</v>
      </c>
      <c r="O102" s="2" t="s">
        <v>116</v>
      </c>
      <c r="P102" s="2" t="s">
        <v>518</v>
      </c>
      <c r="Q102" s="4">
        <v>487.89</v>
      </c>
      <c r="R102" s="5">
        <v>8</v>
      </c>
      <c r="S102" s="6">
        <v>0</v>
      </c>
      <c r="T102" s="4">
        <v>54.16</v>
      </c>
      <c r="U102" s="7">
        <f t="shared" si="4"/>
        <v>0.111008628994241</v>
      </c>
      <c r="V102" s="2" t="str">
        <f t="shared" si="5"/>
        <v>Standard Sales</v>
      </c>
      <c r="W102" t="str">
        <f t="shared" si="6"/>
        <v>Nov</v>
      </c>
      <c r="X102" t="str">
        <f t="shared" si="7"/>
        <v>Q4</v>
      </c>
    </row>
    <row r="103" spans="1:24">
      <c r="A103" s="2" t="s">
        <v>519</v>
      </c>
      <c r="B103" s="3">
        <v>43789</v>
      </c>
      <c r="C103" s="3">
        <v>43792</v>
      </c>
      <c r="D103" s="2" t="s">
        <v>75</v>
      </c>
      <c r="E103" s="2" t="s">
        <v>520</v>
      </c>
      <c r="F103" s="2" t="s">
        <v>173</v>
      </c>
      <c r="G103" s="2" t="s">
        <v>16</v>
      </c>
      <c r="H103" s="2" t="s">
        <v>60</v>
      </c>
      <c r="I103" s="2" t="s">
        <v>78</v>
      </c>
      <c r="J103" s="2" t="s">
        <v>79</v>
      </c>
      <c r="K103" s="2">
        <v>10001</v>
      </c>
      <c r="L103" s="2" t="s">
        <v>11</v>
      </c>
      <c r="M103" s="2" t="s">
        <v>521</v>
      </c>
      <c r="N103" s="2" t="s">
        <v>12</v>
      </c>
      <c r="O103" s="2" t="s">
        <v>81</v>
      </c>
      <c r="P103" s="2" t="s">
        <v>522</v>
      </c>
      <c r="Q103" s="4">
        <v>104.2</v>
      </c>
      <c r="R103" s="5">
        <v>5</v>
      </c>
      <c r="S103" s="6">
        <v>0</v>
      </c>
      <c r="T103" s="4">
        <v>19.81</v>
      </c>
      <c r="U103" s="7">
        <f t="shared" si="4"/>
        <v>0.190115163147793</v>
      </c>
      <c r="V103" s="2" t="str">
        <f t="shared" si="5"/>
        <v>Standard Sales</v>
      </c>
      <c r="W103" t="str">
        <f t="shared" si="6"/>
        <v>Nov</v>
      </c>
      <c r="X103" t="str">
        <f t="shared" si="7"/>
        <v>Q4</v>
      </c>
    </row>
    <row r="104" spans="1:24">
      <c r="A104" s="2" t="s">
        <v>523</v>
      </c>
      <c r="B104" s="3">
        <v>43512</v>
      </c>
      <c r="C104" s="3">
        <v>43517</v>
      </c>
      <c r="D104" s="2" t="s">
        <v>94</v>
      </c>
      <c r="E104" s="2" t="s">
        <v>524</v>
      </c>
      <c r="F104" s="2" t="s">
        <v>525</v>
      </c>
      <c r="G104" s="2" t="s">
        <v>19</v>
      </c>
      <c r="H104" s="2" t="s">
        <v>60</v>
      </c>
      <c r="I104" s="2" t="s">
        <v>78</v>
      </c>
      <c r="J104" s="2" t="s">
        <v>79</v>
      </c>
      <c r="K104" s="2">
        <v>10001</v>
      </c>
      <c r="L104" s="2" t="s">
        <v>11</v>
      </c>
      <c r="M104" s="2" t="s">
        <v>526</v>
      </c>
      <c r="N104" s="2" t="s">
        <v>12</v>
      </c>
      <c r="O104" s="2" t="s">
        <v>137</v>
      </c>
      <c r="P104" s="2" t="s">
        <v>527</v>
      </c>
      <c r="Q104" s="4">
        <v>915.41</v>
      </c>
      <c r="R104" s="5">
        <v>9</v>
      </c>
      <c r="S104" s="6">
        <v>0.1</v>
      </c>
      <c r="T104" s="4">
        <v>302.98</v>
      </c>
      <c r="U104" s="7">
        <f t="shared" si="4"/>
        <v>0.330977376257633</v>
      </c>
      <c r="V104" s="2" t="str">
        <f t="shared" si="5"/>
        <v>High Sales</v>
      </c>
      <c r="W104" t="str">
        <f t="shared" si="6"/>
        <v>Feb</v>
      </c>
      <c r="X104" t="str">
        <f t="shared" si="7"/>
        <v>Q1</v>
      </c>
    </row>
    <row r="105" spans="1:24">
      <c r="A105" s="2" t="s">
        <v>528</v>
      </c>
      <c r="B105" s="3">
        <v>43696</v>
      </c>
      <c r="C105" s="3">
        <v>43697</v>
      </c>
      <c r="D105" s="2" t="s">
        <v>75</v>
      </c>
      <c r="E105" s="2" t="s">
        <v>529</v>
      </c>
      <c r="F105" s="2" t="s">
        <v>530</v>
      </c>
      <c r="G105" s="2" t="s">
        <v>19</v>
      </c>
      <c r="H105" s="2" t="s">
        <v>60</v>
      </c>
      <c r="I105" s="2" t="s">
        <v>61</v>
      </c>
      <c r="J105" s="2" t="s">
        <v>62</v>
      </c>
      <c r="K105" s="2">
        <v>10001</v>
      </c>
      <c r="L105" s="2" t="s">
        <v>17</v>
      </c>
      <c r="M105" s="2" t="s">
        <v>531</v>
      </c>
      <c r="N105" s="2" t="s">
        <v>18</v>
      </c>
      <c r="O105" s="2" t="s">
        <v>159</v>
      </c>
      <c r="P105" s="2" t="s">
        <v>532</v>
      </c>
      <c r="Q105" s="4">
        <v>795.62</v>
      </c>
      <c r="R105" s="5">
        <v>10</v>
      </c>
      <c r="S105" s="6">
        <v>0.1</v>
      </c>
      <c r="T105" s="4">
        <v>50.72</v>
      </c>
      <c r="U105" s="7">
        <f t="shared" si="4"/>
        <v>0.063749025916895</v>
      </c>
      <c r="V105" s="2" t="str">
        <f t="shared" si="5"/>
        <v>High Sales</v>
      </c>
      <c r="W105" t="str">
        <f t="shared" si="6"/>
        <v>Aug</v>
      </c>
      <c r="X105" t="str">
        <f t="shared" si="7"/>
        <v>Q3</v>
      </c>
    </row>
    <row r="106" spans="1:24">
      <c r="A106" s="2" t="s">
        <v>533</v>
      </c>
      <c r="B106" s="3">
        <v>43610</v>
      </c>
      <c r="C106" s="3">
        <v>43614</v>
      </c>
      <c r="D106" s="2" t="s">
        <v>94</v>
      </c>
      <c r="E106" s="2" t="s">
        <v>534</v>
      </c>
      <c r="F106" s="2" t="s">
        <v>205</v>
      </c>
      <c r="G106" s="2" t="s">
        <v>19</v>
      </c>
      <c r="H106" s="2" t="s">
        <v>60</v>
      </c>
      <c r="I106" s="2" t="s">
        <v>78</v>
      </c>
      <c r="J106" s="2" t="s">
        <v>79</v>
      </c>
      <c r="K106" s="2">
        <v>10001</v>
      </c>
      <c r="L106" s="2" t="s">
        <v>11</v>
      </c>
      <c r="M106" s="2" t="s">
        <v>535</v>
      </c>
      <c r="N106" s="2" t="s">
        <v>15</v>
      </c>
      <c r="O106" s="2" t="s">
        <v>98</v>
      </c>
      <c r="P106" s="2" t="s">
        <v>536</v>
      </c>
      <c r="Q106" s="4">
        <v>159.87</v>
      </c>
      <c r="R106" s="5">
        <v>7</v>
      </c>
      <c r="S106" s="6">
        <v>0.2</v>
      </c>
      <c r="T106" s="4">
        <v>2.14</v>
      </c>
      <c r="U106" s="7">
        <f t="shared" si="4"/>
        <v>0.0133858760242697</v>
      </c>
      <c r="V106" s="2" t="str">
        <f t="shared" si="5"/>
        <v>Standard Sales</v>
      </c>
      <c r="W106" t="str">
        <f t="shared" si="6"/>
        <v>May</v>
      </c>
      <c r="X106" t="str">
        <f t="shared" si="7"/>
        <v>Q2</v>
      </c>
    </row>
    <row r="107" spans="1:24">
      <c r="A107" s="2" t="s">
        <v>537</v>
      </c>
      <c r="B107" s="3">
        <v>43802</v>
      </c>
      <c r="C107" s="3">
        <v>43807</v>
      </c>
      <c r="D107" s="2" t="s">
        <v>133</v>
      </c>
      <c r="E107" s="2" t="s">
        <v>538</v>
      </c>
      <c r="F107" s="2" t="s">
        <v>77</v>
      </c>
      <c r="G107" s="2" t="s">
        <v>19</v>
      </c>
      <c r="H107" s="2" t="s">
        <v>60</v>
      </c>
      <c r="I107" s="2" t="s">
        <v>61</v>
      </c>
      <c r="J107" s="2" t="s">
        <v>62</v>
      </c>
      <c r="K107" s="2">
        <v>10001</v>
      </c>
      <c r="L107" s="2" t="s">
        <v>17</v>
      </c>
      <c r="M107" s="2" t="s">
        <v>539</v>
      </c>
      <c r="N107" s="2" t="s">
        <v>12</v>
      </c>
      <c r="O107" s="2" t="s">
        <v>81</v>
      </c>
      <c r="P107" s="2" t="s">
        <v>540</v>
      </c>
      <c r="Q107" s="4">
        <v>900.66</v>
      </c>
      <c r="R107" s="5">
        <v>2</v>
      </c>
      <c r="S107" s="6">
        <v>0.2</v>
      </c>
      <c r="T107" s="4">
        <v>136.46</v>
      </c>
      <c r="U107" s="7">
        <f t="shared" si="4"/>
        <v>0.151511114071903</v>
      </c>
      <c r="V107" s="2" t="str">
        <f t="shared" si="5"/>
        <v>High Sales</v>
      </c>
      <c r="W107" t="str">
        <f t="shared" si="6"/>
        <v>Dec</v>
      </c>
      <c r="X107" t="str">
        <f t="shared" si="7"/>
        <v>Q4</v>
      </c>
    </row>
    <row r="108" spans="1:24">
      <c r="A108" s="2" t="s">
        <v>541</v>
      </c>
      <c r="B108" s="3">
        <v>43795</v>
      </c>
      <c r="C108" s="3">
        <v>43798</v>
      </c>
      <c r="D108" s="2" t="s">
        <v>133</v>
      </c>
      <c r="E108" s="2" t="s">
        <v>542</v>
      </c>
      <c r="F108" s="2" t="s">
        <v>543</v>
      </c>
      <c r="G108" s="2" t="s">
        <v>19</v>
      </c>
      <c r="H108" s="2" t="s">
        <v>60</v>
      </c>
      <c r="I108" s="2" t="s">
        <v>78</v>
      </c>
      <c r="J108" s="2" t="s">
        <v>79</v>
      </c>
      <c r="K108" s="2">
        <v>10001</v>
      </c>
      <c r="L108" s="2" t="s">
        <v>11</v>
      </c>
      <c r="M108" s="2" t="s">
        <v>544</v>
      </c>
      <c r="N108" s="2" t="s">
        <v>15</v>
      </c>
      <c r="O108" s="2" t="s">
        <v>104</v>
      </c>
      <c r="P108" s="2" t="s">
        <v>545</v>
      </c>
      <c r="Q108" s="4">
        <v>46.98</v>
      </c>
      <c r="R108" s="5">
        <v>5</v>
      </c>
      <c r="S108" s="6">
        <v>0.1</v>
      </c>
      <c r="T108" s="4">
        <v>15.41</v>
      </c>
      <c r="U108" s="7">
        <f t="shared" si="4"/>
        <v>0.328011919965943</v>
      </c>
      <c r="V108" s="2" t="str">
        <f t="shared" si="5"/>
        <v>Standard Sales</v>
      </c>
      <c r="W108" t="str">
        <f t="shared" si="6"/>
        <v>Nov</v>
      </c>
      <c r="X108" t="str">
        <f t="shared" si="7"/>
        <v>Q4</v>
      </c>
    </row>
    <row r="109" spans="1:24">
      <c r="A109" s="2" t="s">
        <v>546</v>
      </c>
      <c r="B109" s="3">
        <v>43640</v>
      </c>
      <c r="C109" s="3">
        <v>43644</v>
      </c>
      <c r="D109" s="2" t="s">
        <v>133</v>
      </c>
      <c r="E109" s="2" t="s">
        <v>547</v>
      </c>
      <c r="F109" s="2" t="s">
        <v>383</v>
      </c>
      <c r="G109" s="2" t="s">
        <v>13</v>
      </c>
      <c r="H109" s="2" t="s">
        <v>60</v>
      </c>
      <c r="I109" s="2" t="s">
        <v>78</v>
      </c>
      <c r="J109" s="2" t="s">
        <v>79</v>
      </c>
      <c r="K109" s="2">
        <v>10001</v>
      </c>
      <c r="L109" s="2" t="s">
        <v>11</v>
      </c>
      <c r="M109" s="2" t="s">
        <v>548</v>
      </c>
      <c r="N109" s="2" t="s">
        <v>12</v>
      </c>
      <c r="O109" s="2" t="s">
        <v>130</v>
      </c>
      <c r="P109" s="2" t="s">
        <v>549</v>
      </c>
      <c r="Q109" s="4">
        <v>818.86</v>
      </c>
      <c r="R109" s="5">
        <v>9</v>
      </c>
      <c r="S109" s="6">
        <v>0</v>
      </c>
      <c r="T109" s="4">
        <v>162.03</v>
      </c>
      <c r="U109" s="7">
        <f t="shared" si="4"/>
        <v>0.197872652223823</v>
      </c>
      <c r="V109" s="2" t="str">
        <f t="shared" si="5"/>
        <v>High Sales</v>
      </c>
      <c r="W109" t="str">
        <f t="shared" si="6"/>
        <v>Jun</v>
      </c>
      <c r="X109" t="str">
        <f t="shared" si="7"/>
        <v>Q2</v>
      </c>
    </row>
    <row r="110" spans="1:24">
      <c r="A110" s="2" t="s">
        <v>550</v>
      </c>
      <c r="B110" s="3">
        <v>43782</v>
      </c>
      <c r="C110" s="3">
        <v>43784</v>
      </c>
      <c r="D110" s="2" t="s">
        <v>94</v>
      </c>
      <c r="E110" s="2" t="s">
        <v>551</v>
      </c>
      <c r="F110" s="2" t="s">
        <v>552</v>
      </c>
      <c r="G110" s="2" t="s">
        <v>13</v>
      </c>
      <c r="H110" s="2" t="s">
        <v>60</v>
      </c>
      <c r="I110" s="2" t="s">
        <v>61</v>
      </c>
      <c r="J110" s="2" t="s">
        <v>62</v>
      </c>
      <c r="K110" s="2">
        <v>10001</v>
      </c>
      <c r="L110" s="2" t="s">
        <v>17</v>
      </c>
      <c r="M110" s="2" t="s">
        <v>553</v>
      </c>
      <c r="N110" s="2" t="s">
        <v>15</v>
      </c>
      <c r="O110" s="2" t="s">
        <v>104</v>
      </c>
      <c r="P110" s="2" t="s">
        <v>554</v>
      </c>
      <c r="Q110" s="4">
        <v>559.16</v>
      </c>
      <c r="R110" s="5">
        <v>4</v>
      </c>
      <c r="S110" s="6">
        <v>0.3</v>
      </c>
      <c r="T110" s="4">
        <v>97.72</v>
      </c>
      <c r="U110" s="7">
        <f t="shared" si="4"/>
        <v>0.174762143214822</v>
      </c>
      <c r="V110" s="2" t="str">
        <f t="shared" si="5"/>
        <v>High Sales</v>
      </c>
      <c r="W110" t="str">
        <f t="shared" si="6"/>
        <v>Nov</v>
      </c>
      <c r="X110" t="str">
        <f t="shared" si="7"/>
        <v>Q4</v>
      </c>
    </row>
    <row r="111" spans="1:24">
      <c r="A111" s="2" t="s">
        <v>555</v>
      </c>
      <c r="B111" s="3">
        <v>43695</v>
      </c>
      <c r="C111" s="3">
        <v>43697</v>
      </c>
      <c r="D111" s="2" t="s">
        <v>133</v>
      </c>
      <c r="E111" s="2" t="s">
        <v>556</v>
      </c>
      <c r="F111" s="2" t="s">
        <v>152</v>
      </c>
      <c r="G111" s="2" t="s">
        <v>13</v>
      </c>
      <c r="H111" s="2" t="s">
        <v>60</v>
      </c>
      <c r="I111" s="2" t="s">
        <v>126</v>
      </c>
      <c r="J111" s="2" t="s">
        <v>127</v>
      </c>
      <c r="K111" s="2">
        <v>10001</v>
      </c>
      <c r="L111" s="2" t="s">
        <v>128</v>
      </c>
      <c r="M111" s="2" t="s">
        <v>557</v>
      </c>
      <c r="N111" s="2" t="s">
        <v>15</v>
      </c>
      <c r="O111" s="2" t="s">
        <v>116</v>
      </c>
      <c r="P111" s="2" t="s">
        <v>558</v>
      </c>
      <c r="Q111" s="4">
        <v>1158.77</v>
      </c>
      <c r="R111" s="5">
        <v>7</v>
      </c>
      <c r="S111" s="6">
        <v>0.3</v>
      </c>
      <c r="T111" s="4">
        <v>387.98</v>
      </c>
      <c r="U111" s="7">
        <f t="shared" si="4"/>
        <v>0.334820542471759</v>
      </c>
      <c r="V111" s="2" t="str">
        <f t="shared" si="5"/>
        <v>High Sales</v>
      </c>
      <c r="W111" t="str">
        <f t="shared" si="6"/>
        <v>Aug</v>
      </c>
      <c r="X111" t="str">
        <f t="shared" si="7"/>
        <v>Q3</v>
      </c>
    </row>
    <row r="112" spans="1:24">
      <c r="A112" s="2" t="s">
        <v>559</v>
      </c>
      <c r="B112" s="3">
        <v>43568</v>
      </c>
      <c r="C112" s="3">
        <v>43573</v>
      </c>
      <c r="D112" s="2" t="s">
        <v>133</v>
      </c>
      <c r="E112" s="2" t="s">
        <v>560</v>
      </c>
      <c r="F112" s="2" t="s">
        <v>173</v>
      </c>
      <c r="G112" s="2" t="s">
        <v>19</v>
      </c>
      <c r="H112" s="2" t="s">
        <v>60</v>
      </c>
      <c r="I112" s="2" t="s">
        <v>69</v>
      </c>
      <c r="J112" s="2" t="s">
        <v>70</v>
      </c>
      <c r="K112" s="2">
        <v>10001</v>
      </c>
      <c r="L112" s="2" t="s">
        <v>14</v>
      </c>
      <c r="M112" s="2" t="s">
        <v>561</v>
      </c>
      <c r="N112" s="2" t="s">
        <v>12</v>
      </c>
      <c r="O112" s="2" t="s">
        <v>137</v>
      </c>
      <c r="P112" s="2" t="s">
        <v>562</v>
      </c>
      <c r="Q112" s="4">
        <v>1271.92</v>
      </c>
      <c r="R112" s="5">
        <v>2</v>
      </c>
      <c r="S112" s="6">
        <v>0.2</v>
      </c>
      <c r="T112" s="4">
        <v>-79.18</v>
      </c>
      <c r="U112" s="7">
        <f t="shared" si="4"/>
        <v>-0.0622523429146487</v>
      </c>
      <c r="V112" s="2" t="str">
        <f t="shared" si="5"/>
        <v>High Sales</v>
      </c>
      <c r="W112" t="str">
        <f t="shared" si="6"/>
        <v>Apr</v>
      </c>
      <c r="X112" t="str">
        <f t="shared" si="7"/>
        <v>Q2</v>
      </c>
    </row>
    <row r="113" spans="1:24">
      <c r="A113" s="2" t="s">
        <v>563</v>
      </c>
      <c r="B113" s="3">
        <v>43548</v>
      </c>
      <c r="C113" s="3">
        <v>43551</v>
      </c>
      <c r="D113" s="2" t="s">
        <v>94</v>
      </c>
      <c r="E113" s="2" t="s">
        <v>564</v>
      </c>
      <c r="F113" s="2" t="s">
        <v>277</v>
      </c>
      <c r="G113" s="2" t="s">
        <v>16</v>
      </c>
      <c r="H113" s="2" t="s">
        <v>60</v>
      </c>
      <c r="I113" s="2" t="s">
        <v>78</v>
      </c>
      <c r="J113" s="2" t="s">
        <v>79</v>
      </c>
      <c r="K113" s="2">
        <v>10001</v>
      </c>
      <c r="L113" s="2" t="s">
        <v>11</v>
      </c>
      <c r="M113" s="2" t="s">
        <v>565</v>
      </c>
      <c r="N113" s="2" t="s">
        <v>18</v>
      </c>
      <c r="O113" s="2" t="s">
        <v>72</v>
      </c>
      <c r="P113" s="2" t="s">
        <v>566</v>
      </c>
      <c r="Q113" s="4">
        <v>634.05</v>
      </c>
      <c r="R113" s="5">
        <v>7</v>
      </c>
      <c r="S113" s="6">
        <v>0.2</v>
      </c>
      <c r="T113" s="4">
        <v>3.87</v>
      </c>
      <c r="U113" s="7">
        <f t="shared" si="4"/>
        <v>0.00610361958836054</v>
      </c>
      <c r="V113" s="2" t="str">
        <f t="shared" si="5"/>
        <v>High Sales</v>
      </c>
      <c r="W113" t="str">
        <f t="shared" si="6"/>
        <v>Mar</v>
      </c>
      <c r="X113" t="str">
        <f t="shared" si="7"/>
        <v>Q1</v>
      </c>
    </row>
    <row r="114" spans="1:24">
      <c r="A114" s="2" t="s">
        <v>567</v>
      </c>
      <c r="B114" s="3">
        <v>43507</v>
      </c>
      <c r="C114" s="3">
        <v>43510</v>
      </c>
      <c r="D114" s="2" t="s">
        <v>133</v>
      </c>
      <c r="E114" s="2" t="s">
        <v>568</v>
      </c>
      <c r="F114" s="2" t="s">
        <v>569</v>
      </c>
      <c r="G114" s="2" t="s">
        <v>13</v>
      </c>
      <c r="H114" s="2" t="s">
        <v>60</v>
      </c>
      <c r="I114" s="2" t="s">
        <v>126</v>
      </c>
      <c r="J114" s="2" t="s">
        <v>127</v>
      </c>
      <c r="K114" s="2">
        <v>10001</v>
      </c>
      <c r="L114" s="2" t="s">
        <v>128</v>
      </c>
      <c r="M114" s="2" t="s">
        <v>570</v>
      </c>
      <c r="N114" s="2" t="s">
        <v>18</v>
      </c>
      <c r="O114" s="2" t="s">
        <v>159</v>
      </c>
      <c r="P114" s="2" t="s">
        <v>571</v>
      </c>
      <c r="Q114" s="4">
        <v>1377.75</v>
      </c>
      <c r="R114" s="5">
        <v>8</v>
      </c>
      <c r="S114" s="6">
        <v>0.1</v>
      </c>
      <c r="T114" s="4">
        <v>332.7</v>
      </c>
      <c r="U114" s="7">
        <f t="shared" si="4"/>
        <v>0.241480675013609</v>
      </c>
      <c r="V114" s="2" t="str">
        <f t="shared" si="5"/>
        <v>High Sales</v>
      </c>
      <c r="W114" t="str">
        <f t="shared" si="6"/>
        <v>Feb</v>
      </c>
      <c r="X114" t="str">
        <f t="shared" si="7"/>
        <v>Q1</v>
      </c>
    </row>
    <row r="115" spans="1:24">
      <c r="A115" s="2" t="s">
        <v>572</v>
      </c>
      <c r="B115" s="3">
        <v>43706</v>
      </c>
      <c r="C115" s="3">
        <v>43710</v>
      </c>
      <c r="D115" s="2" t="s">
        <v>57</v>
      </c>
      <c r="E115" s="2" t="s">
        <v>573</v>
      </c>
      <c r="F115" s="2" t="s">
        <v>125</v>
      </c>
      <c r="G115" s="2" t="s">
        <v>16</v>
      </c>
      <c r="H115" s="2" t="s">
        <v>60</v>
      </c>
      <c r="I115" s="2" t="s">
        <v>61</v>
      </c>
      <c r="J115" s="2" t="s">
        <v>62</v>
      </c>
      <c r="K115" s="2">
        <v>10001</v>
      </c>
      <c r="L115" s="2" t="s">
        <v>17</v>
      </c>
      <c r="M115" s="2" t="s">
        <v>574</v>
      </c>
      <c r="N115" s="2" t="s">
        <v>18</v>
      </c>
      <c r="O115" s="2" t="s">
        <v>72</v>
      </c>
      <c r="P115" s="2" t="s">
        <v>575</v>
      </c>
      <c r="Q115" s="4">
        <v>446.39</v>
      </c>
      <c r="R115" s="5">
        <v>5</v>
      </c>
      <c r="S115" s="6">
        <v>0</v>
      </c>
      <c r="T115" s="4">
        <v>-35.05</v>
      </c>
      <c r="U115" s="7">
        <f t="shared" si="4"/>
        <v>-0.0785187840229396</v>
      </c>
      <c r="V115" s="2" t="str">
        <f t="shared" si="5"/>
        <v>Standard Sales</v>
      </c>
      <c r="W115" t="str">
        <f t="shared" si="6"/>
        <v>Aug</v>
      </c>
      <c r="X115" t="str">
        <f t="shared" si="7"/>
        <v>Q3</v>
      </c>
    </row>
    <row r="116" spans="1:24">
      <c r="A116" s="2" t="s">
        <v>576</v>
      </c>
      <c r="B116" s="3">
        <v>43680</v>
      </c>
      <c r="C116" s="3">
        <v>43685</v>
      </c>
      <c r="D116" s="2" t="s">
        <v>94</v>
      </c>
      <c r="E116" s="2" t="s">
        <v>577</v>
      </c>
      <c r="F116" s="2" t="s">
        <v>219</v>
      </c>
      <c r="G116" s="2" t="s">
        <v>16</v>
      </c>
      <c r="H116" s="2" t="s">
        <v>60</v>
      </c>
      <c r="I116" s="2" t="s">
        <v>78</v>
      </c>
      <c r="J116" s="2" t="s">
        <v>79</v>
      </c>
      <c r="K116" s="2">
        <v>10001</v>
      </c>
      <c r="L116" s="2" t="s">
        <v>11</v>
      </c>
      <c r="M116" s="2" t="s">
        <v>578</v>
      </c>
      <c r="N116" s="2" t="s">
        <v>15</v>
      </c>
      <c r="O116" s="2" t="s">
        <v>116</v>
      </c>
      <c r="P116" s="2" t="s">
        <v>579</v>
      </c>
      <c r="Q116" s="4">
        <v>232.49</v>
      </c>
      <c r="R116" s="5">
        <v>7</v>
      </c>
      <c r="S116" s="6">
        <v>0</v>
      </c>
      <c r="T116" s="4">
        <v>41.07</v>
      </c>
      <c r="U116" s="7">
        <f t="shared" si="4"/>
        <v>0.176652759258463</v>
      </c>
      <c r="V116" s="2" t="str">
        <f t="shared" si="5"/>
        <v>Standard Sales</v>
      </c>
      <c r="W116" t="str">
        <f t="shared" si="6"/>
        <v>Aug</v>
      </c>
      <c r="X116" t="str">
        <f t="shared" si="7"/>
        <v>Q3</v>
      </c>
    </row>
    <row r="117" spans="1:24">
      <c r="A117" s="2" t="s">
        <v>580</v>
      </c>
      <c r="B117" s="3">
        <v>43589</v>
      </c>
      <c r="C117" s="3">
        <v>43594</v>
      </c>
      <c r="D117" s="2" t="s">
        <v>94</v>
      </c>
      <c r="E117" s="2" t="s">
        <v>581</v>
      </c>
      <c r="F117" s="2" t="s">
        <v>135</v>
      </c>
      <c r="G117" s="2" t="s">
        <v>19</v>
      </c>
      <c r="H117" s="2" t="s">
        <v>60</v>
      </c>
      <c r="I117" s="2" t="s">
        <v>78</v>
      </c>
      <c r="J117" s="2" t="s">
        <v>79</v>
      </c>
      <c r="K117" s="2">
        <v>10001</v>
      </c>
      <c r="L117" s="2" t="s">
        <v>11</v>
      </c>
      <c r="M117" s="2" t="s">
        <v>582</v>
      </c>
      <c r="N117" s="2" t="s">
        <v>15</v>
      </c>
      <c r="O117" s="2" t="s">
        <v>98</v>
      </c>
      <c r="P117" s="2" t="s">
        <v>583</v>
      </c>
      <c r="Q117" s="4">
        <v>825.24</v>
      </c>
      <c r="R117" s="5">
        <v>9</v>
      </c>
      <c r="S117" s="6">
        <v>0</v>
      </c>
      <c r="T117" s="4">
        <v>62.47</v>
      </c>
      <c r="U117" s="7">
        <f t="shared" si="4"/>
        <v>0.07569919053851</v>
      </c>
      <c r="V117" s="2" t="str">
        <f t="shared" si="5"/>
        <v>High Sales</v>
      </c>
      <c r="W117" t="str">
        <f t="shared" si="6"/>
        <v>May</v>
      </c>
      <c r="X117" t="str">
        <f t="shared" si="7"/>
        <v>Q2</v>
      </c>
    </row>
    <row r="118" spans="1:24">
      <c r="A118" s="2" t="s">
        <v>584</v>
      </c>
      <c r="B118" s="3">
        <v>43706</v>
      </c>
      <c r="C118" s="3">
        <v>43707</v>
      </c>
      <c r="D118" s="2" t="s">
        <v>94</v>
      </c>
      <c r="E118" s="2" t="s">
        <v>585</v>
      </c>
      <c r="F118" s="2" t="s">
        <v>168</v>
      </c>
      <c r="G118" s="2" t="s">
        <v>19</v>
      </c>
      <c r="H118" s="2" t="s">
        <v>60</v>
      </c>
      <c r="I118" s="2" t="s">
        <v>78</v>
      </c>
      <c r="J118" s="2" t="s">
        <v>79</v>
      </c>
      <c r="K118" s="2">
        <v>10001</v>
      </c>
      <c r="L118" s="2" t="s">
        <v>11</v>
      </c>
      <c r="M118" s="2" t="s">
        <v>586</v>
      </c>
      <c r="N118" s="2" t="s">
        <v>12</v>
      </c>
      <c r="O118" s="2" t="s">
        <v>130</v>
      </c>
      <c r="P118" s="2" t="s">
        <v>131</v>
      </c>
      <c r="Q118" s="4">
        <v>1104.75</v>
      </c>
      <c r="R118" s="5">
        <v>2</v>
      </c>
      <c r="S118" s="6">
        <v>0.2</v>
      </c>
      <c r="T118" s="4">
        <v>-44.15</v>
      </c>
      <c r="U118" s="7">
        <f t="shared" si="4"/>
        <v>-0.0399637927132835</v>
      </c>
      <c r="V118" s="2" t="str">
        <f t="shared" si="5"/>
        <v>High Sales</v>
      </c>
      <c r="W118" t="str">
        <f t="shared" si="6"/>
        <v>Aug</v>
      </c>
      <c r="X118" t="str">
        <f t="shared" si="7"/>
        <v>Q3</v>
      </c>
    </row>
    <row r="119" spans="1:24">
      <c r="A119" s="2" t="s">
        <v>587</v>
      </c>
      <c r="B119" s="3">
        <v>43646</v>
      </c>
      <c r="C119" s="3">
        <v>43651</v>
      </c>
      <c r="D119" s="2" t="s">
        <v>75</v>
      </c>
      <c r="E119" s="2" t="s">
        <v>588</v>
      </c>
      <c r="F119" s="2" t="s">
        <v>332</v>
      </c>
      <c r="G119" s="2" t="s">
        <v>19</v>
      </c>
      <c r="H119" s="2" t="s">
        <v>60</v>
      </c>
      <c r="I119" s="2" t="s">
        <v>69</v>
      </c>
      <c r="J119" s="2" t="s">
        <v>70</v>
      </c>
      <c r="K119" s="2">
        <v>10001</v>
      </c>
      <c r="L119" s="2" t="s">
        <v>14</v>
      </c>
      <c r="M119" s="2" t="s">
        <v>589</v>
      </c>
      <c r="N119" s="2" t="s">
        <v>15</v>
      </c>
      <c r="O119" s="2" t="s">
        <v>104</v>
      </c>
      <c r="P119" s="2" t="s">
        <v>590</v>
      </c>
      <c r="Q119" s="4">
        <v>113.39</v>
      </c>
      <c r="R119" s="5">
        <v>8</v>
      </c>
      <c r="S119" s="6">
        <v>0</v>
      </c>
      <c r="T119" s="4">
        <v>3.63</v>
      </c>
      <c r="U119" s="7">
        <f t="shared" si="4"/>
        <v>0.0320134050621748</v>
      </c>
      <c r="V119" s="2" t="str">
        <f t="shared" si="5"/>
        <v>Standard Sales</v>
      </c>
      <c r="W119" t="str">
        <f t="shared" si="6"/>
        <v>Jun</v>
      </c>
      <c r="X119" t="str">
        <f t="shared" si="7"/>
        <v>Q2</v>
      </c>
    </row>
    <row r="120" spans="1:24">
      <c r="A120" s="2" t="s">
        <v>591</v>
      </c>
      <c r="B120" s="3">
        <v>43488</v>
      </c>
      <c r="C120" s="3">
        <v>43490</v>
      </c>
      <c r="D120" s="2" t="s">
        <v>57</v>
      </c>
      <c r="E120" s="2" t="s">
        <v>592</v>
      </c>
      <c r="F120" s="2" t="s">
        <v>282</v>
      </c>
      <c r="G120" s="2" t="s">
        <v>19</v>
      </c>
      <c r="H120" s="2" t="s">
        <v>60</v>
      </c>
      <c r="I120" s="2" t="s">
        <v>69</v>
      </c>
      <c r="J120" s="2" t="s">
        <v>70</v>
      </c>
      <c r="K120" s="2">
        <v>10001</v>
      </c>
      <c r="L120" s="2" t="s">
        <v>14</v>
      </c>
      <c r="M120" s="2" t="s">
        <v>593</v>
      </c>
      <c r="N120" s="2" t="s">
        <v>15</v>
      </c>
      <c r="O120" s="2" t="s">
        <v>104</v>
      </c>
      <c r="P120" s="2" t="s">
        <v>594</v>
      </c>
      <c r="Q120" s="4">
        <v>1134.87</v>
      </c>
      <c r="R120" s="5">
        <v>4</v>
      </c>
      <c r="S120" s="6">
        <v>0.2</v>
      </c>
      <c r="T120" s="4">
        <v>68.82</v>
      </c>
      <c r="U120" s="7">
        <f t="shared" si="4"/>
        <v>0.0606413069338338</v>
      </c>
      <c r="V120" s="2" t="str">
        <f t="shared" si="5"/>
        <v>High Sales</v>
      </c>
      <c r="W120" t="str">
        <f t="shared" si="6"/>
        <v>Jan</v>
      </c>
      <c r="X120" t="str">
        <f t="shared" si="7"/>
        <v>Q1</v>
      </c>
    </row>
    <row r="121" spans="1:24">
      <c r="A121" s="2" t="s">
        <v>595</v>
      </c>
      <c r="B121" s="3">
        <v>43490</v>
      </c>
      <c r="C121" s="3">
        <v>43493</v>
      </c>
      <c r="D121" s="2" t="s">
        <v>75</v>
      </c>
      <c r="E121" s="2" t="s">
        <v>596</v>
      </c>
      <c r="F121" s="2" t="s">
        <v>597</v>
      </c>
      <c r="G121" s="2" t="s">
        <v>16</v>
      </c>
      <c r="H121" s="2" t="s">
        <v>60</v>
      </c>
      <c r="I121" s="2" t="s">
        <v>69</v>
      </c>
      <c r="J121" s="2" t="s">
        <v>70</v>
      </c>
      <c r="K121" s="2">
        <v>10001</v>
      </c>
      <c r="L121" s="2" t="s">
        <v>14</v>
      </c>
      <c r="M121" s="2" t="s">
        <v>598</v>
      </c>
      <c r="N121" s="2" t="s">
        <v>15</v>
      </c>
      <c r="O121" s="2" t="s">
        <v>104</v>
      </c>
      <c r="P121" s="2" t="s">
        <v>599</v>
      </c>
      <c r="Q121" s="4">
        <v>1461.11</v>
      </c>
      <c r="R121" s="5">
        <v>8</v>
      </c>
      <c r="S121" s="6">
        <v>0.3</v>
      </c>
      <c r="T121" s="4">
        <v>95.42</v>
      </c>
      <c r="U121" s="7">
        <f t="shared" si="4"/>
        <v>0.0653065135410749</v>
      </c>
      <c r="V121" s="2" t="str">
        <f t="shared" si="5"/>
        <v>High Sales</v>
      </c>
      <c r="W121" t="str">
        <f t="shared" si="6"/>
        <v>Jan</v>
      </c>
      <c r="X121" t="str">
        <f t="shared" si="7"/>
        <v>Q1</v>
      </c>
    </row>
    <row r="122" spans="1:24">
      <c r="A122" s="2" t="s">
        <v>600</v>
      </c>
      <c r="B122" s="3">
        <v>43731</v>
      </c>
      <c r="C122" s="3">
        <v>43734</v>
      </c>
      <c r="D122" s="2" t="s">
        <v>57</v>
      </c>
      <c r="E122" s="2" t="s">
        <v>601</v>
      </c>
      <c r="F122" s="2" t="s">
        <v>77</v>
      </c>
      <c r="G122" s="2" t="s">
        <v>16</v>
      </c>
      <c r="H122" s="2" t="s">
        <v>60</v>
      </c>
      <c r="I122" s="2" t="s">
        <v>61</v>
      </c>
      <c r="J122" s="2" t="s">
        <v>62</v>
      </c>
      <c r="K122" s="2">
        <v>10001</v>
      </c>
      <c r="L122" s="2" t="s">
        <v>17</v>
      </c>
      <c r="M122" s="2" t="s">
        <v>602</v>
      </c>
      <c r="N122" s="2" t="s">
        <v>15</v>
      </c>
      <c r="O122" s="2" t="s">
        <v>98</v>
      </c>
      <c r="P122" s="2" t="s">
        <v>221</v>
      </c>
      <c r="Q122" s="4">
        <v>138.5</v>
      </c>
      <c r="R122" s="5">
        <v>5</v>
      </c>
      <c r="S122" s="6">
        <v>0.2</v>
      </c>
      <c r="T122" s="4">
        <v>13.94</v>
      </c>
      <c r="U122" s="7">
        <f t="shared" si="4"/>
        <v>0.100649819494585</v>
      </c>
      <c r="V122" s="2" t="str">
        <f t="shared" si="5"/>
        <v>Standard Sales</v>
      </c>
      <c r="W122" t="str">
        <f t="shared" si="6"/>
        <v>Sep</v>
      </c>
      <c r="X122" t="str">
        <f t="shared" si="7"/>
        <v>Q3</v>
      </c>
    </row>
    <row r="123" spans="1:24">
      <c r="A123" s="2" t="s">
        <v>603</v>
      </c>
      <c r="B123" s="3">
        <v>43684</v>
      </c>
      <c r="C123" s="3">
        <v>43686</v>
      </c>
      <c r="D123" s="2" t="s">
        <v>94</v>
      </c>
      <c r="E123" s="2" t="s">
        <v>604</v>
      </c>
      <c r="F123" s="2" t="s">
        <v>141</v>
      </c>
      <c r="G123" s="2" t="s">
        <v>13</v>
      </c>
      <c r="H123" s="2" t="s">
        <v>60</v>
      </c>
      <c r="I123" s="2" t="s">
        <v>126</v>
      </c>
      <c r="J123" s="2" t="s">
        <v>127</v>
      </c>
      <c r="K123" s="2">
        <v>10001</v>
      </c>
      <c r="L123" s="2" t="s">
        <v>128</v>
      </c>
      <c r="M123" s="2" t="s">
        <v>605</v>
      </c>
      <c r="N123" s="2" t="s">
        <v>15</v>
      </c>
      <c r="O123" s="2" t="s">
        <v>104</v>
      </c>
      <c r="P123" s="2" t="s">
        <v>606</v>
      </c>
      <c r="Q123" s="4">
        <v>1470.44</v>
      </c>
      <c r="R123" s="5">
        <v>1</v>
      </c>
      <c r="S123" s="6">
        <v>0</v>
      </c>
      <c r="T123" s="4">
        <v>297.08</v>
      </c>
      <c r="U123" s="7">
        <f t="shared" si="4"/>
        <v>0.202034765104323</v>
      </c>
      <c r="V123" s="2" t="str">
        <f t="shared" si="5"/>
        <v>High Sales</v>
      </c>
      <c r="W123" t="str">
        <f t="shared" si="6"/>
        <v>Aug</v>
      </c>
      <c r="X123" t="str">
        <f t="shared" si="7"/>
        <v>Q3</v>
      </c>
    </row>
    <row r="124" spans="1:24">
      <c r="A124" s="2" t="s">
        <v>607</v>
      </c>
      <c r="B124" s="3">
        <v>43673</v>
      </c>
      <c r="C124" s="3">
        <v>43676</v>
      </c>
      <c r="D124" s="2" t="s">
        <v>133</v>
      </c>
      <c r="E124" s="2" t="s">
        <v>608</v>
      </c>
      <c r="F124" s="2" t="s">
        <v>277</v>
      </c>
      <c r="G124" s="2" t="s">
        <v>19</v>
      </c>
      <c r="H124" s="2" t="s">
        <v>60</v>
      </c>
      <c r="I124" s="2" t="s">
        <v>69</v>
      </c>
      <c r="J124" s="2" t="s">
        <v>70</v>
      </c>
      <c r="K124" s="2">
        <v>10001</v>
      </c>
      <c r="L124" s="2" t="s">
        <v>14</v>
      </c>
      <c r="M124" s="2" t="s">
        <v>609</v>
      </c>
      <c r="N124" s="2" t="s">
        <v>18</v>
      </c>
      <c r="O124" s="2" t="s">
        <v>159</v>
      </c>
      <c r="P124" s="2" t="s">
        <v>610</v>
      </c>
      <c r="Q124" s="4">
        <v>1172.2</v>
      </c>
      <c r="R124" s="5">
        <v>6</v>
      </c>
      <c r="S124" s="6">
        <v>0.2</v>
      </c>
      <c r="T124" s="4">
        <v>84.73</v>
      </c>
      <c r="U124" s="7">
        <f t="shared" si="4"/>
        <v>0.0722828868793721</v>
      </c>
      <c r="V124" s="2" t="str">
        <f t="shared" si="5"/>
        <v>High Sales</v>
      </c>
      <c r="W124" t="str">
        <f t="shared" si="6"/>
        <v>Jul</v>
      </c>
      <c r="X124" t="str">
        <f t="shared" si="7"/>
        <v>Q3</v>
      </c>
    </row>
    <row r="125" spans="1:24">
      <c r="A125" s="2" t="s">
        <v>611</v>
      </c>
      <c r="B125" s="3">
        <v>43756</v>
      </c>
      <c r="C125" s="3">
        <v>43757</v>
      </c>
      <c r="D125" s="2" t="s">
        <v>133</v>
      </c>
      <c r="E125" s="2" t="s">
        <v>612</v>
      </c>
      <c r="F125" s="2" t="s">
        <v>141</v>
      </c>
      <c r="G125" s="2" t="s">
        <v>16</v>
      </c>
      <c r="H125" s="2" t="s">
        <v>60</v>
      </c>
      <c r="I125" s="2" t="s">
        <v>126</v>
      </c>
      <c r="J125" s="2" t="s">
        <v>127</v>
      </c>
      <c r="K125" s="2">
        <v>10001</v>
      </c>
      <c r="L125" s="2" t="s">
        <v>128</v>
      </c>
      <c r="M125" s="2" t="s">
        <v>613</v>
      </c>
      <c r="N125" s="2" t="s">
        <v>12</v>
      </c>
      <c r="O125" s="2" t="s">
        <v>130</v>
      </c>
      <c r="P125" s="2" t="s">
        <v>614</v>
      </c>
      <c r="Q125" s="4">
        <v>563.09</v>
      </c>
      <c r="R125" s="5">
        <v>6</v>
      </c>
      <c r="S125" s="6">
        <v>0.2</v>
      </c>
      <c r="T125" s="4">
        <v>6.94</v>
      </c>
      <c r="U125" s="7">
        <f t="shared" si="4"/>
        <v>0.0123248503791579</v>
      </c>
      <c r="V125" s="2" t="str">
        <f t="shared" si="5"/>
        <v>High Sales</v>
      </c>
      <c r="W125" t="str">
        <f t="shared" si="6"/>
        <v>Oct</v>
      </c>
      <c r="X125" t="str">
        <f t="shared" si="7"/>
        <v>Q4</v>
      </c>
    </row>
    <row r="126" spans="1:24">
      <c r="A126" s="2" t="s">
        <v>615</v>
      </c>
      <c r="B126" s="3">
        <v>43524</v>
      </c>
      <c r="C126" s="3">
        <v>43525</v>
      </c>
      <c r="D126" s="2" t="s">
        <v>133</v>
      </c>
      <c r="E126" s="2" t="s">
        <v>616</v>
      </c>
      <c r="F126" s="2" t="s">
        <v>617</v>
      </c>
      <c r="G126" s="2" t="s">
        <v>16</v>
      </c>
      <c r="H126" s="2" t="s">
        <v>60</v>
      </c>
      <c r="I126" s="2" t="s">
        <v>78</v>
      </c>
      <c r="J126" s="2" t="s">
        <v>79</v>
      </c>
      <c r="K126" s="2">
        <v>10001</v>
      </c>
      <c r="L126" s="2" t="s">
        <v>11</v>
      </c>
      <c r="M126" s="2" t="s">
        <v>618</v>
      </c>
      <c r="N126" s="2" t="s">
        <v>12</v>
      </c>
      <c r="O126" s="2" t="s">
        <v>81</v>
      </c>
      <c r="P126" s="2" t="s">
        <v>619</v>
      </c>
      <c r="Q126" s="4">
        <v>1494.62</v>
      </c>
      <c r="R126" s="5">
        <v>5</v>
      </c>
      <c r="S126" s="6">
        <v>0.3</v>
      </c>
      <c r="T126" s="4">
        <v>-14.83</v>
      </c>
      <c r="U126" s="7">
        <f t="shared" si="4"/>
        <v>-0.00992225448609011</v>
      </c>
      <c r="V126" s="2" t="str">
        <f t="shared" si="5"/>
        <v>High Sales</v>
      </c>
      <c r="W126" t="str">
        <f t="shared" si="6"/>
        <v>Feb</v>
      </c>
      <c r="X126" t="str">
        <f t="shared" si="7"/>
        <v>Q1</v>
      </c>
    </row>
    <row r="127" spans="1:24">
      <c r="A127" s="2" t="s">
        <v>620</v>
      </c>
      <c r="B127" s="3">
        <v>43535</v>
      </c>
      <c r="C127" s="3">
        <v>43536</v>
      </c>
      <c r="D127" s="2" t="s">
        <v>94</v>
      </c>
      <c r="E127" s="2" t="s">
        <v>621</v>
      </c>
      <c r="F127" s="2" t="s">
        <v>622</v>
      </c>
      <c r="G127" s="2" t="s">
        <v>16</v>
      </c>
      <c r="H127" s="2" t="s">
        <v>60</v>
      </c>
      <c r="I127" s="2" t="s">
        <v>78</v>
      </c>
      <c r="J127" s="2" t="s">
        <v>79</v>
      </c>
      <c r="K127" s="2">
        <v>10001</v>
      </c>
      <c r="L127" s="2" t="s">
        <v>11</v>
      </c>
      <c r="M127" s="2" t="s">
        <v>623</v>
      </c>
      <c r="N127" s="2" t="s">
        <v>15</v>
      </c>
      <c r="O127" s="2" t="s">
        <v>98</v>
      </c>
      <c r="P127" s="2" t="s">
        <v>624</v>
      </c>
      <c r="Q127" s="4">
        <v>116.11</v>
      </c>
      <c r="R127" s="5">
        <v>9</v>
      </c>
      <c r="S127" s="6">
        <v>0.2</v>
      </c>
      <c r="T127" s="4">
        <v>34.96</v>
      </c>
      <c r="U127" s="7">
        <f t="shared" si="4"/>
        <v>0.3010937903712</v>
      </c>
      <c r="V127" s="2" t="str">
        <f t="shared" si="5"/>
        <v>Standard Sales</v>
      </c>
      <c r="W127" t="str">
        <f t="shared" si="6"/>
        <v>Mar</v>
      </c>
      <c r="X127" t="str">
        <f t="shared" si="7"/>
        <v>Q1</v>
      </c>
    </row>
    <row r="128" spans="1:24">
      <c r="A128" s="2" t="s">
        <v>625</v>
      </c>
      <c r="B128" s="3">
        <v>43546</v>
      </c>
      <c r="C128" s="3">
        <v>43548</v>
      </c>
      <c r="D128" s="2" t="s">
        <v>75</v>
      </c>
      <c r="E128" s="2" t="s">
        <v>626</v>
      </c>
      <c r="F128" s="2" t="s">
        <v>108</v>
      </c>
      <c r="G128" s="2" t="s">
        <v>13</v>
      </c>
      <c r="H128" s="2" t="s">
        <v>60</v>
      </c>
      <c r="I128" s="2" t="s">
        <v>61</v>
      </c>
      <c r="J128" s="2" t="s">
        <v>62</v>
      </c>
      <c r="K128" s="2">
        <v>10001</v>
      </c>
      <c r="L128" s="2" t="s">
        <v>17</v>
      </c>
      <c r="M128" s="2" t="s">
        <v>627</v>
      </c>
      <c r="N128" s="2" t="s">
        <v>18</v>
      </c>
      <c r="O128" s="2" t="s">
        <v>159</v>
      </c>
      <c r="P128" s="2" t="s">
        <v>628</v>
      </c>
      <c r="Q128" s="4">
        <v>554.13</v>
      </c>
      <c r="R128" s="5">
        <v>10</v>
      </c>
      <c r="S128" s="6">
        <v>0.2</v>
      </c>
      <c r="T128" s="4">
        <v>61.14</v>
      </c>
      <c r="U128" s="7">
        <f t="shared" si="4"/>
        <v>0.110335119917709</v>
      </c>
      <c r="V128" s="2" t="str">
        <f t="shared" si="5"/>
        <v>High Sales</v>
      </c>
      <c r="W128" t="str">
        <f t="shared" si="6"/>
        <v>Mar</v>
      </c>
      <c r="X128" t="str">
        <f t="shared" si="7"/>
        <v>Q1</v>
      </c>
    </row>
    <row r="129" spans="1:24">
      <c r="A129" s="2" t="s">
        <v>629</v>
      </c>
      <c r="B129" s="3">
        <v>43748</v>
      </c>
      <c r="C129" s="3">
        <v>43750</v>
      </c>
      <c r="D129" s="2" t="s">
        <v>57</v>
      </c>
      <c r="E129" s="2" t="s">
        <v>630</v>
      </c>
      <c r="F129" s="2" t="s">
        <v>282</v>
      </c>
      <c r="G129" s="2" t="s">
        <v>16</v>
      </c>
      <c r="H129" s="2" t="s">
        <v>60</v>
      </c>
      <c r="I129" s="2" t="s">
        <v>69</v>
      </c>
      <c r="J129" s="2" t="s">
        <v>70</v>
      </c>
      <c r="K129" s="2">
        <v>10001</v>
      </c>
      <c r="L129" s="2" t="s">
        <v>14</v>
      </c>
      <c r="M129" s="2" t="s">
        <v>631</v>
      </c>
      <c r="N129" s="2" t="s">
        <v>15</v>
      </c>
      <c r="O129" s="2" t="s">
        <v>104</v>
      </c>
      <c r="P129" s="2" t="s">
        <v>632</v>
      </c>
      <c r="Q129" s="4">
        <v>129.15</v>
      </c>
      <c r="R129" s="5">
        <v>6</v>
      </c>
      <c r="S129" s="6">
        <v>0</v>
      </c>
      <c r="T129" s="4">
        <v>13.24</v>
      </c>
      <c r="U129" s="7">
        <f t="shared" si="4"/>
        <v>0.102516453735966</v>
      </c>
      <c r="V129" s="2" t="str">
        <f t="shared" si="5"/>
        <v>Standard Sales</v>
      </c>
      <c r="W129" t="str">
        <f t="shared" si="6"/>
        <v>Oct</v>
      </c>
      <c r="X129" t="str">
        <f t="shared" si="7"/>
        <v>Q4</v>
      </c>
    </row>
    <row r="130" spans="1:24">
      <c r="A130" s="2" t="s">
        <v>633</v>
      </c>
      <c r="B130" s="3">
        <v>43814</v>
      </c>
      <c r="C130" s="3">
        <v>43819</v>
      </c>
      <c r="D130" s="2" t="s">
        <v>75</v>
      </c>
      <c r="E130" s="2" t="s">
        <v>634</v>
      </c>
      <c r="F130" s="2" t="s">
        <v>378</v>
      </c>
      <c r="G130" s="2" t="s">
        <v>19</v>
      </c>
      <c r="H130" s="2" t="s">
        <v>60</v>
      </c>
      <c r="I130" s="2" t="s">
        <v>61</v>
      </c>
      <c r="J130" s="2" t="s">
        <v>62</v>
      </c>
      <c r="K130" s="2">
        <v>10001</v>
      </c>
      <c r="L130" s="2" t="s">
        <v>17</v>
      </c>
      <c r="M130" s="2" t="s">
        <v>635</v>
      </c>
      <c r="N130" s="2" t="s">
        <v>18</v>
      </c>
      <c r="O130" s="2" t="s">
        <v>72</v>
      </c>
      <c r="P130" s="2" t="s">
        <v>636</v>
      </c>
      <c r="Q130" s="4">
        <v>1250.46</v>
      </c>
      <c r="R130" s="5">
        <v>9</v>
      </c>
      <c r="S130" s="6">
        <v>0.1</v>
      </c>
      <c r="T130" s="4">
        <v>46.09</v>
      </c>
      <c r="U130" s="7">
        <f t="shared" ref="U130:U151" si="8">IF(Q130=0,0,T130/Q130)</f>
        <v>0.0368584360955169</v>
      </c>
      <c r="V130" s="2" t="str">
        <f t="shared" ref="V130:V151" si="9">IF(Q130&gt;500,"High Sales","Standard Sales")</f>
        <v>High Sales</v>
      </c>
      <c r="W130" t="str">
        <f t="shared" ref="W130:W151" si="10">TEXT(B130,"mmm")</f>
        <v>Dec</v>
      </c>
      <c r="X130" t="str">
        <f t="shared" ref="X130:X151" si="11">"Q"&amp;ROUNDUP(MONTH(B130)/3,0)</f>
        <v>Q4</v>
      </c>
    </row>
    <row r="131" spans="1:24">
      <c r="A131" s="2" t="s">
        <v>637</v>
      </c>
      <c r="B131" s="3">
        <v>43548</v>
      </c>
      <c r="C131" s="3">
        <v>43551</v>
      </c>
      <c r="D131" s="2" t="s">
        <v>133</v>
      </c>
      <c r="E131" s="2" t="s">
        <v>638</v>
      </c>
      <c r="F131" s="2" t="s">
        <v>617</v>
      </c>
      <c r="G131" s="2" t="s">
        <v>16</v>
      </c>
      <c r="H131" s="2" t="s">
        <v>60</v>
      </c>
      <c r="I131" s="2" t="s">
        <v>78</v>
      </c>
      <c r="J131" s="2" t="s">
        <v>79</v>
      </c>
      <c r="K131" s="2">
        <v>10001</v>
      </c>
      <c r="L131" s="2" t="s">
        <v>11</v>
      </c>
      <c r="M131" s="2" t="s">
        <v>639</v>
      </c>
      <c r="N131" s="2" t="s">
        <v>12</v>
      </c>
      <c r="O131" s="2" t="s">
        <v>130</v>
      </c>
      <c r="P131" s="2" t="s">
        <v>640</v>
      </c>
      <c r="Q131" s="4">
        <v>945.03</v>
      </c>
      <c r="R131" s="5">
        <v>10</v>
      </c>
      <c r="S131" s="6">
        <v>0</v>
      </c>
      <c r="T131" s="4">
        <v>119.22</v>
      </c>
      <c r="U131" s="7">
        <f t="shared" si="8"/>
        <v>0.126154725246818</v>
      </c>
      <c r="V131" s="2" t="str">
        <f t="shared" si="9"/>
        <v>High Sales</v>
      </c>
      <c r="W131" t="str">
        <f t="shared" si="10"/>
        <v>Mar</v>
      </c>
      <c r="X131" t="str">
        <f t="shared" si="11"/>
        <v>Q1</v>
      </c>
    </row>
    <row r="132" spans="1:24">
      <c r="A132" s="2" t="s">
        <v>641</v>
      </c>
      <c r="B132" s="3">
        <v>43552</v>
      </c>
      <c r="C132" s="3">
        <v>43557</v>
      </c>
      <c r="D132" s="2" t="s">
        <v>133</v>
      </c>
      <c r="E132" s="2" t="s">
        <v>642</v>
      </c>
      <c r="F132" s="2" t="s">
        <v>135</v>
      </c>
      <c r="G132" s="2" t="s">
        <v>19</v>
      </c>
      <c r="H132" s="2" t="s">
        <v>60</v>
      </c>
      <c r="I132" s="2" t="s">
        <v>126</v>
      </c>
      <c r="J132" s="2" t="s">
        <v>127</v>
      </c>
      <c r="K132" s="2">
        <v>10001</v>
      </c>
      <c r="L132" s="2" t="s">
        <v>128</v>
      </c>
      <c r="M132" s="2" t="s">
        <v>643</v>
      </c>
      <c r="N132" s="2" t="s">
        <v>15</v>
      </c>
      <c r="O132" s="2" t="s">
        <v>64</v>
      </c>
      <c r="P132" s="2" t="s">
        <v>644</v>
      </c>
      <c r="Q132" s="4">
        <v>87.28</v>
      </c>
      <c r="R132" s="5">
        <v>10</v>
      </c>
      <c r="S132" s="6">
        <v>0.2</v>
      </c>
      <c r="T132" s="4">
        <v>16.85</v>
      </c>
      <c r="U132" s="7">
        <f t="shared" si="8"/>
        <v>0.193056828597617</v>
      </c>
      <c r="V132" s="2" t="str">
        <f t="shared" si="9"/>
        <v>Standard Sales</v>
      </c>
      <c r="W132" t="str">
        <f t="shared" si="10"/>
        <v>Mar</v>
      </c>
      <c r="X132" t="str">
        <f t="shared" si="11"/>
        <v>Q1</v>
      </c>
    </row>
    <row r="133" spans="1:24">
      <c r="A133" s="2" t="s">
        <v>645</v>
      </c>
      <c r="B133" s="3">
        <v>43758</v>
      </c>
      <c r="C133" s="3">
        <v>43762</v>
      </c>
      <c r="D133" s="2" t="s">
        <v>57</v>
      </c>
      <c r="E133" s="2" t="s">
        <v>646</v>
      </c>
      <c r="F133" s="2" t="s">
        <v>90</v>
      </c>
      <c r="G133" s="2" t="s">
        <v>19</v>
      </c>
      <c r="H133" s="2" t="s">
        <v>60</v>
      </c>
      <c r="I133" s="2" t="s">
        <v>126</v>
      </c>
      <c r="J133" s="2" t="s">
        <v>127</v>
      </c>
      <c r="K133" s="2">
        <v>10001</v>
      </c>
      <c r="L133" s="2" t="s">
        <v>128</v>
      </c>
      <c r="M133" s="2" t="s">
        <v>647</v>
      </c>
      <c r="N133" s="2" t="s">
        <v>15</v>
      </c>
      <c r="O133" s="2" t="s">
        <v>98</v>
      </c>
      <c r="P133" s="2" t="s">
        <v>648</v>
      </c>
      <c r="Q133" s="4">
        <v>1210.94</v>
      </c>
      <c r="R133" s="5">
        <v>7</v>
      </c>
      <c r="S133" s="6">
        <v>0.2</v>
      </c>
      <c r="T133" s="4">
        <v>126.05</v>
      </c>
      <c r="U133" s="7">
        <f t="shared" si="8"/>
        <v>0.104092688324772</v>
      </c>
      <c r="V133" s="2" t="str">
        <f t="shared" si="9"/>
        <v>High Sales</v>
      </c>
      <c r="W133" t="str">
        <f t="shared" si="10"/>
        <v>Oct</v>
      </c>
      <c r="X133" t="str">
        <f t="shared" si="11"/>
        <v>Q4</v>
      </c>
    </row>
    <row r="134" spans="1:24">
      <c r="A134" s="2" t="s">
        <v>649</v>
      </c>
      <c r="B134" s="3">
        <v>43818</v>
      </c>
      <c r="C134" s="3">
        <v>43819</v>
      </c>
      <c r="D134" s="2" t="s">
        <v>133</v>
      </c>
      <c r="E134" s="2" t="s">
        <v>650</v>
      </c>
      <c r="F134" s="2" t="s">
        <v>651</v>
      </c>
      <c r="G134" s="2" t="s">
        <v>16</v>
      </c>
      <c r="H134" s="2" t="s">
        <v>60</v>
      </c>
      <c r="I134" s="2" t="s">
        <v>69</v>
      </c>
      <c r="J134" s="2" t="s">
        <v>70</v>
      </c>
      <c r="K134" s="2">
        <v>10001</v>
      </c>
      <c r="L134" s="2" t="s">
        <v>14</v>
      </c>
      <c r="M134" s="2" t="s">
        <v>652</v>
      </c>
      <c r="N134" s="2" t="s">
        <v>18</v>
      </c>
      <c r="O134" s="2" t="s">
        <v>320</v>
      </c>
      <c r="P134" s="2" t="s">
        <v>653</v>
      </c>
      <c r="Q134" s="4">
        <v>1295</v>
      </c>
      <c r="R134" s="5">
        <v>6</v>
      </c>
      <c r="S134" s="6">
        <v>0.2</v>
      </c>
      <c r="T134" s="4">
        <v>438.9</v>
      </c>
      <c r="U134" s="7">
        <f t="shared" si="8"/>
        <v>0.338918918918919</v>
      </c>
      <c r="V134" s="2" t="str">
        <f t="shared" si="9"/>
        <v>High Sales</v>
      </c>
      <c r="W134" t="str">
        <f t="shared" si="10"/>
        <v>Dec</v>
      </c>
      <c r="X134" t="str">
        <f t="shared" si="11"/>
        <v>Q4</v>
      </c>
    </row>
    <row r="135" spans="1:24">
      <c r="A135" s="2" t="s">
        <v>654</v>
      </c>
      <c r="B135" s="3">
        <v>43532</v>
      </c>
      <c r="C135" s="3">
        <v>43535</v>
      </c>
      <c r="D135" s="2" t="s">
        <v>57</v>
      </c>
      <c r="E135" s="2" t="s">
        <v>655</v>
      </c>
      <c r="F135" s="2" t="s">
        <v>59</v>
      </c>
      <c r="G135" s="2" t="s">
        <v>16</v>
      </c>
      <c r="H135" s="2" t="s">
        <v>60</v>
      </c>
      <c r="I135" s="2" t="s">
        <v>78</v>
      </c>
      <c r="J135" s="2" t="s">
        <v>79</v>
      </c>
      <c r="K135" s="2">
        <v>10001</v>
      </c>
      <c r="L135" s="2" t="s">
        <v>11</v>
      </c>
      <c r="M135" s="2" t="s">
        <v>656</v>
      </c>
      <c r="N135" s="2" t="s">
        <v>12</v>
      </c>
      <c r="O135" s="2" t="s">
        <v>81</v>
      </c>
      <c r="P135" s="2" t="s">
        <v>657</v>
      </c>
      <c r="Q135" s="4">
        <v>163.28</v>
      </c>
      <c r="R135" s="5">
        <v>5</v>
      </c>
      <c r="S135" s="6">
        <v>0.3</v>
      </c>
      <c r="T135" s="4">
        <v>47.17</v>
      </c>
      <c r="U135" s="7">
        <f t="shared" si="8"/>
        <v>0.288890249877511</v>
      </c>
      <c r="V135" s="2" t="str">
        <f t="shared" si="9"/>
        <v>Standard Sales</v>
      </c>
      <c r="W135" t="str">
        <f t="shared" si="10"/>
        <v>Mar</v>
      </c>
      <c r="X135" t="str">
        <f t="shared" si="11"/>
        <v>Q1</v>
      </c>
    </row>
    <row r="136" spans="1:24">
      <c r="A136" s="2" t="s">
        <v>658</v>
      </c>
      <c r="B136" s="3">
        <v>43680</v>
      </c>
      <c r="C136" s="3">
        <v>43682</v>
      </c>
      <c r="D136" s="2" t="s">
        <v>133</v>
      </c>
      <c r="E136" s="2" t="s">
        <v>659</v>
      </c>
      <c r="F136" s="2" t="s">
        <v>178</v>
      </c>
      <c r="G136" s="2" t="s">
        <v>19</v>
      </c>
      <c r="H136" s="2" t="s">
        <v>60</v>
      </c>
      <c r="I136" s="2" t="s">
        <v>126</v>
      </c>
      <c r="J136" s="2" t="s">
        <v>127</v>
      </c>
      <c r="K136" s="2">
        <v>10001</v>
      </c>
      <c r="L136" s="2" t="s">
        <v>128</v>
      </c>
      <c r="M136" s="2" t="s">
        <v>660</v>
      </c>
      <c r="N136" s="2" t="s">
        <v>18</v>
      </c>
      <c r="O136" s="2" t="s">
        <v>159</v>
      </c>
      <c r="P136" s="2" t="s">
        <v>661</v>
      </c>
      <c r="Q136" s="4">
        <v>710.89</v>
      </c>
      <c r="R136" s="5">
        <v>5</v>
      </c>
      <c r="S136" s="6">
        <v>0.3</v>
      </c>
      <c r="T136" s="4">
        <v>-63.67</v>
      </c>
      <c r="U136" s="7">
        <f t="shared" si="8"/>
        <v>-0.0895637862397839</v>
      </c>
      <c r="V136" s="2" t="str">
        <f t="shared" si="9"/>
        <v>High Sales</v>
      </c>
      <c r="W136" t="str">
        <f t="shared" si="10"/>
        <v>Aug</v>
      </c>
      <c r="X136" t="str">
        <f t="shared" si="11"/>
        <v>Q3</v>
      </c>
    </row>
    <row r="137" spans="1:24">
      <c r="A137" s="2" t="s">
        <v>662</v>
      </c>
      <c r="B137" s="3">
        <v>43667</v>
      </c>
      <c r="C137" s="3">
        <v>43672</v>
      </c>
      <c r="D137" s="2" t="s">
        <v>94</v>
      </c>
      <c r="E137" s="2" t="s">
        <v>663</v>
      </c>
      <c r="F137" s="2" t="s">
        <v>444</v>
      </c>
      <c r="G137" s="2" t="s">
        <v>19</v>
      </c>
      <c r="H137" s="2" t="s">
        <v>60</v>
      </c>
      <c r="I137" s="2" t="s">
        <v>126</v>
      </c>
      <c r="J137" s="2" t="s">
        <v>127</v>
      </c>
      <c r="K137" s="2">
        <v>10001</v>
      </c>
      <c r="L137" s="2" t="s">
        <v>128</v>
      </c>
      <c r="M137" s="2" t="s">
        <v>664</v>
      </c>
      <c r="N137" s="2" t="s">
        <v>18</v>
      </c>
      <c r="O137" s="2" t="s">
        <v>110</v>
      </c>
      <c r="P137" s="2" t="s">
        <v>665</v>
      </c>
      <c r="Q137" s="4">
        <v>904.33</v>
      </c>
      <c r="R137" s="5">
        <v>8</v>
      </c>
      <c r="S137" s="6">
        <v>0.2</v>
      </c>
      <c r="T137" s="4">
        <v>127.97</v>
      </c>
      <c r="U137" s="7">
        <f t="shared" si="8"/>
        <v>0.141508077803457</v>
      </c>
      <c r="V137" s="2" t="str">
        <f t="shared" si="9"/>
        <v>High Sales</v>
      </c>
      <c r="W137" t="str">
        <f t="shared" si="10"/>
        <v>Jul</v>
      </c>
      <c r="X137" t="str">
        <f t="shared" si="11"/>
        <v>Q3</v>
      </c>
    </row>
    <row r="138" spans="1:24">
      <c r="A138" s="2" t="s">
        <v>666</v>
      </c>
      <c r="B138" s="3">
        <v>43521</v>
      </c>
      <c r="C138" s="3">
        <v>43525</v>
      </c>
      <c r="D138" s="2" t="s">
        <v>133</v>
      </c>
      <c r="E138" s="2" t="s">
        <v>667</v>
      </c>
      <c r="F138" s="2" t="s">
        <v>157</v>
      </c>
      <c r="G138" s="2" t="s">
        <v>16</v>
      </c>
      <c r="H138" s="2" t="s">
        <v>60</v>
      </c>
      <c r="I138" s="2" t="s">
        <v>69</v>
      </c>
      <c r="J138" s="2" t="s">
        <v>70</v>
      </c>
      <c r="K138" s="2">
        <v>10001</v>
      </c>
      <c r="L138" s="2" t="s">
        <v>14</v>
      </c>
      <c r="M138" s="2" t="s">
        <v>668</v>
      </c>
      <c r="N138" s="2" t="s">
        <v>12</v>
      </c>
      <c r="O138" s="2" t="s">
        <v>130</v>
      </c>
      <c r="P138" s="2" t="s">
        <v>669</v>
      </c>
      <c r="Q138" s="4">
        <v>864.02</v>
      </c>
      <c r="R138" s="5">
        <v>4</v>
      </c>
      <c r="S138" s="6">
        <v>0.2</v>
      </c>
      <c r="T138" s="4">
        <v>128.7</v>
      </c>
      <c r="U138" s="7">
        <f t="shared" si="8"/>
        <v>0.148954885303581</v>
      </c>
      <c r="V138" s="2" t="str">
        <f t="shared" si="9"/>
        <v>High Sales</v>
      </c>
      <c r="W138" t="str">
        <f t="shared" si="10"/>
        <v>Feb</v>
      </c>
      <c r="X138" t="str">
        <f t="shared" si="11"/>
        <v>Q1</v>
      </c>
    </row>
    <row r="139" spans="1:24">
      <c r="A139" s="2" t="s">
        <v>670</v>
      </c>
      <c r="B139" s="3">
        <v>43503</v>
      </c>
      <c r="C139" s="3">
        <v>43507</v>
      </c>
      <c r="D139" s="2" t="s">
        <v>94</v>
      </c>
      <c r="E139" s="2" t="s">
        <v>671</v>
      </c>
      <c r="F139" s="2" t="s">
        <v>96</v>
      </c>
      <c r="G139" s="2" t="s">
        <v>19</v>
      </c>
      <c r="H139" s="2" t="s">
        <v>60</v>
      </c>
      <c r="I139" s="2" t="s">
        <v>78</v>
      </c>
      <c r="J139" s="2" t="s">
        <v>79</v>
      </c>
      <c r="K139" s="2">
        <v>10001</v>
      </c>
      <c r="L139" s="2" t="s">
        <v>11</v>
      </c>
      <c r="M139" s="2" t="s">
        <v>672</v>
      </c>
      <c r="N139" s="2" t="s">
        <v>18</v>
      </c>
      <c r="O139" s="2" t="s">
        <v>110</v>
      </c>
      <c r="P139" s="2" t="s">
        <v>673</v>
      </c>
      <c r="Q139" s="4">
        <v>1196.45</v>
      </c>
      <c r="R139" s="5">
        <v>6</v>
      </c>
      <c r="S139" s="6">
        <v>0.2</v>
      </c>
      <c r="T139" s="4">
        <v>286.83</v>
      </c>
      <c r="U139" s="7">
        <f t="shared" si="8"/>
        <v>0.239734213715575</v>
      </c>
      <c r="V139" s="2" t="str">
        <f t="shared" si="9"/>
        <v>High Sales</v>
      </c>
      <c r="W139" t="str">
        <f t="shared" si="10"/>
        <v>Feb</v>
      </c>
      <c r="X139" t="str">
        <f t="shared" si="11"/>
        <v>Q1</v>
      </c>
    </row>
    <row r="140" spans="1:24">
      <c r="A140" s="2" t="s">
        <v>674</v>
      </c>
      <c r="B140" s="3">
        <v>43567</v>
      </c>
      <c r="C140" s="3">
        <v>43572</v>
      </c>
      <c r="D140" s="2" t="s">
        <v>94</v>
      </c>
      <c r="E140" s="2" t="s">
        <v>675</v>
      </c>
      <c r="F140" s="2" t="s">
        <v>146</v>
      </c>
      <c r="G140" s="2" t="s">
        <v>13</v>
      </c>
      <c r="H140" s="2" t="s">
        <v>60</v>
      </c>
      <c r="I140" s="2" t="s">
        <v>78</v>
      </c>
      <c r="J140" s="2" t="s">
        <v>79</v>
      </c>
      <c r="K140" s="2">
        <v>10001</v>
      </c>
      <c r="L140" s="2" t="s">
        <v>11</v>
      </c>
      <c r="M140" s="2" t="s">
        <v>676</v>
      </c>
      <c r="N140" s="2" t="s">
        <v>18</v>
      </c>
      <c r="O140" s="2" t="s">
        <v>320</v>
      </c>
      <c r="P140" s="2" t="s">
        <v>677</v>
      </c>
      <c r="Q140" s="4">
        <v>696.34</v>
      </c>
      <c r="R140" s="5">
        <v>10</v>
      </c>
      <c r="S140" s="6">
        <v>0.1</v>
      </c>
      <c r="T140" s="4">
        <v>33.14</v>
      </c>
      <c r="U140" s="7">
        <f t="shared" si="8"/>
        <v>0.0475916937128414</v>
      </c>
      <c r="V140" s="2" t="str">
        <f t="shared" si="9"/>
        <v>High Sales</v>
      </c>
      <c r="W140" t="str">
        <f t="shared" si="10"/>
        <v>Apr</v>
      </c>
      <c r="X140" t="str">
        <f t="shared" si="11"/>
        <v>Q2</v>
      </c>
    </row>
    <row r="141" spans="1:24">
      <c r="A141" s="2" t="s">
        <v>678</v>
      </c>
      <c r="B141" s="3">
        <v>43779</v>
      </c>
      <c r="C141" s="3">
        <v>43782</v>
      </c>
      <c r="D141" s="2" t="s">
        <v>133</v>
      </c>
      <c r="E141" s="2" t="s">
        <v>679</v>
      </c>
      <c r="F141" s="2" t="s">
        <v>85</v>
      </c>
      <c r="G141" s="2" t="s">
        <v>19</v>
      </c>
      <c r="H141" s="2" t="s">
        <v>60</v>
      </c>
      <c r="I141" s="2" t="s">
        <v>126</v>
      </c>
      <c r="J141" s="2" t="s">
        <v>127</v>
      </c>
      <c r="K141" s="2">
        <v>10001</v>
      </c>
      <c r="L141" s="2" t="s">
        <v>128</v>
      </c>
      <c r="M141" s="2" t="s">
        <v>680</v>
      </c>
      <c r="N141" s="2" t="s">
        <v>15</v>
      </c>
      <c r="O141" s="2" t="s">
        <v>98</v>
      </c>
      <c r="P141" s="2" t="s">
        <v>681</v>
      </c>
      <c r="Q141" s="4">
        <v>807.86</v>
      </c>
      <c r="R141" s="5">
        <v>10</v>
      </c>
      <c r="S141" s="6">
        <v>0.2</v>
      </c>
      <c r="T141" s="4">
        <v>91.86</v>
      </c>
      <c r="U141" s="7">
        <f t="shared" si="8"/>
        <v>0.113707820661996</v>
      </c>
      <c r="V141" s="2" t="str">
        <f t="shared" si="9"/>
        <v>High Sales</v>
      </c>
      <c r="W141" t="str">
        <f t="shared" si="10"/>
        <v>Nov</v>
      </c>
      <c r="X141" t="str">
        <f t="shared" si="11"/>
        <v>Q4</v>
      </c>
    </row>
    <row r="142" spans="1:24">
      <c r="A142" s="2" t="s">
        <v>682</v>
      </c>
      <c r="B142" s="3">
        <v>43474</v>
      </c>
      <c r="C142" s="3">
        <v>43477</v>
      </c>
      <c r="D142" s="2" t="s">
        <v>75</v>
      </c>
      <c r="E142" s="2" t="s">
        <v>683</v>
      </c>
      <c r="F142" s="2" t="s">
        <v>219</v>
      </c>
      <c r="G142" s="2" t="s">
        <v>16</v>
      </c>
      <c r="H142" s="2" t="s">
        <v>60</v>
      </c>
      <c r="I142" s="2" t="s">
        <v>126</v>
      </c>
      <c r="J142" s="2" t="s">
        <v>127</v>
      </c>
      <c r="K142" s="2">
        <v>10001</v>
      </c>
      <c r="L142" s="2" t="s">
        <v>128</v>
      </c>
      <c r="M142" s="2" t="s">
        <v>684</v>
      </c>
      <c r="N142" s="2" t="s">
        <v>15</v>
      </c>
      <c r="O142" s="2" t="s">
        <v>64</v>
      </c>
      <c r="P142" s="2" t="s">
        <v>685</v>
      </c>
      <c r="Q142" s="4">
        <v>1451.26</v>
      </c>
      <c r="R142" s="5">
        <v>10</v>
      </c>
      <c r="S142" s="6">
        <v>0.1</v>
      </c>
      <c r="T142" s="4">
        <v>326</v>
      </c>
      <c r="U142" s="7">
        <f t="shared" si="8"/>
        <v>0.224632388407315</v>
      </c>
      <c r="V142" s="2" t="str">
        <f t="shared" si="9"/>
        <v>High Sales</v>
      </c>
      <c r="W142" t="str">
        <f t="shared" si="10"/>
        <v>Jan</v>
      </c>
      <c r="X142" t="str">
        <f t="shared" si="11"/>
        <v>Q1</v>
      </c>
    </row>
    <row r="143" spans="1:24">
      <c r="A143" s="2" t="s">
        <v>686</v>
      </c>
      <c r="B143" s="3">
        <v>43764</v>
      </c>
      <c r="C143" s="3">
        <v>43768</v>
      </c>
      <c r="D143" s="2" t="s">
        <v>133</v>
      </c>
      <c r="E143" s="2" t="s">
        <v>687</v>
      </c>
      <c r="F143" s="2" t="s">
        <v>90</v>
      </c>
      <c r="G143" s="2" t="s">
        <v>19</v>
      </c>
      <c r="H143" s="2" t="s">
        <v>60</v>
      </c>
      <c r="I143" s="2" t="s">
        <v>69</v>
      </c>
      <c r="J143" s="2" t="s">
        <v>70</v>
      </c>
      <c r="K143" s="2">
        <v>10001</v>
      </c>
      <c r="L143" s="2" t="s">
        <v>14</v>
      </c>
      <c r="M143" s="2" t="s">
        <v>688</v>
      </c>
      <c r="N143" s="2" t="s">
        <v>18</v>
      </c>
      <c r="O143" s="2" t="s">
        <v>159</v>
      </c>
      <c r="P143" s="2" t="s">
        <v>689</v>
      </c>
      <c r="Q143" s="4">
        <v>1423.34</v>
      </c>
      <c r="R143" s="5">
        <v>2</v>
      </c>
      <c r="S143" s="6">
        <v>0.1</v>
      </c>
      <c r="T143" s="4">
        <v>-130.2</v>
      </c>
      <c r="U143" s="7">
        <f t="shared" si="8"/>
        <v>-0.0914749813818202</v>
      </c>
      <c r="V143" s="2" t="str">
        <f t="shared" si="9"/>
        <v>High Sales</v>
      </c>
      <c r="W143" t="str">
        <f t="shared" si="10"/>
        <v>Oct</v>
      </c>
      <c r="X143" t="str">
        <f t="shared" si="11"/>
        <v>Q4</v>
      </c>
    </row>
    <row r="144" spans="1:24">
      <c r="A144" s="2" t="s">
        <v>690</v>
      </c>
      <c r="B144" s="3">
        <v>43626</v>
      </c>
      <c r="C144" s="3">
        <v>43630</v>
      </c>
      <c r="D144" s="2" t="s">
        <v>133</v>
      </c>
      <c r="E144" s="2" t="s">
        <v>691</v>
      </c>
      <c r="F144" s="2" t="s">
        <v>543</v>
      </c>
      <c r="G144" s="2" t="s">
        <v>13</v>
      </c>
      <c r="H144" s="2" t="s">
        <v>60</v>
      </c>
      <c r="I144" s="2" t="s">
        <v>69</v>
      </c>
      <c r="J144" s="2" t="s">
        <v>70</v>
      </c>
      <c r="K144" s="2">
        <v>10001</v>
      </c>
      <c r="L144" s="2" t="s">
        <v>14</v>
      </c>
      <c r="M144" s="2" t="s">
        <v>692</v>
      </c>
      <c r="N144" s="2" t="s">
        <v>15</v>
      </c>
      <c r="O144" s="2" t="s">
        <v>116</v>
      </c>
      <c r="P144" s="2" t="s">
        <v>693</v>
      </c>
      <c r="Q144" s="4">
        <v>1096.56</v>
      </c>
      <c r="R144" s="5">
        <v>3</v>
      </c>
      <c r="S144" s="6">
        <v>0.1</v>
      </c>
      <c r="T144" s="4">
        <v>167.11</v>
      </c>
      <c r="U144" s="7">
        <f t="shared" si="8"/>
        <v>0.15239476180054</v>
      </c>
      <c r="V144" s="2" t="str">
        <f t="shared" si="9"/>
        <v>High Sales</v>
      </c>
      <c r="W144" t="str">
        <f t="shared" si="10"/>
        <v>Jun</v>
      </c>
      <c r="X144" t="str">
        <f t="shared" si="11"/>
        <v>Q2</v>
      </c>
    </row>
    <row r="145" spans="1:24">
      <c r="A145" s="2" t="s">
        <v>694</v>
      </c>
      <c r="B145" s="3">
        <v>43805</v>
      </c>
      <c r="C145" s="3">
        <v>43809</v>
      </c>
      <c r="D145" s="2" t="s">
        <v>94</v>
      </c>
      <c r="E145" s="2" t="s">
        <v>695</v>
      </c>
      <c r="F145" s="2" t="s">
        <v>332</v>
      </c>
      <c r="G145" s="2" t="s">
        <v>16</v>
      </c>
      <c r="H145" s="2" t="s">
        <v>60</v>
      </c>
      <c r="I145" s="2" t="s">
        <v>126</v>
      </c>
      <c r="J145" s="2" t="s">
        <v>127</v>
      </c>
      <c r="K145" s="2">
        <v>10001</v>
      </c>
      <c r="L145" s="2" t="s">
        <v>128</v>
      </c>
      <c r="M145" s="2" t="s">
        <v>696</v>
      </c>
      <c r="N145" s="2" t="s">
        <v>15</v>
      </c>
      <c r="O145" s="2" t="s">
        <v>98</v>
      </c>
      <c r="P145" s="2" t="s">
        <v>697</v>
      </c>
      <c r="Q145" s="4">
        <v>736.59</v>
      </c>
      <c r="R145" s="5">
        <v>4</v>
      </c>
      <c r="S145" s="6">
        <v>0.2</v>
      </c>
      <c r="T145" s="4">
        <v>111.33</v>
      </c>
      <c r="U145" s="7">
        <f t="shared" si="8"/>
        <v>0.151142426587382</v>
      </c>
      <c r="V145" s="2" t="str">
        <f t="shared" si="9"/>
        <v>High Sales</v>
      </c>
      <c r="W145" t="str">
        <f t="shared" si="10"/>
        <v>Dec</v>
      </c>
      <c r="X145" t="str">
        <f t="shared" si="11"/>
        <v>Q4</v>
      </c>
    </row>
    <row r="146" spans="1:24">
      <c r="A146" s="2" t="s">
        <v>698</v>
      </c>
      <c r="B146" s="3">
        <v>43581</v>
      </c>
      <c r="C146" s="3">
        <v>43584</v>
      </c>
      <c r="D146" s="2" t="s">
        <v>75</v>
      </c>
      <c r="E146" s="2" t="s">
        <v>699</v>
      </c>
      <c r="F146" s="2" t="s">
        <v>543</v>
      </c>
      <c r="G146" s="2" t="s">
        <v>19</v>
      </c>
      <c r="H146" s="2" t="s">
        <v>60</v>
      </c>
      <c r="I146" s="2" t="s">
        <v>69</v>
      </c>
      <c r="J146" s="2" t="s">
        <v>70</v>
      </c>
      <c r="K146" s="2">
        <v>10001</v>
      </c>
      <c r="L146" s="2" t="s">
        <v>14</v>
      </c>
      <c r="M146" s="2" t="s">
        <v>700</v>
      </c>
      <c r="N146" s="2" t="s">
        <v>12</v>
      </c>
      <c r="O146" s="2" t="s">
        <v>81</v>
      </c>
      <c r="P146" s="2" t="s">
        <v>701</v>
      </c>
      <c r="Q146" s="4">
        <v>1401.88</v>
      </c>
      <c r="R146" s="5">
        <v>5</v>
      </c>
      <c r="S146" s="6">
        <v>0.2</v>
      </c>
      <c r="T146" s="4">
        <v>-63.3</v>
      </c>
      <c r="U146" s="7">
        <f t="shared" si="8"/>
        <v>-0.0451536508117671</v>
      </c>
      <c r="V146" s="2" t="str">
        <f t="shared" si="9"/>
        <v>High Sales</v>
      </c>
      <c r="W146" t="str">
        <f t="shared" si="10"/>
        <v>Apr</v>
      </c>
      <c r="X146" t="str">
        <f t="shared" si="11"/>
        <v>Q2</v>
      </c>
    </row>
    <row r="147" spans="1:24">
      <c r="A147" s="2" t="s">
        <v>702</v>
      </c>
      <c r="B147" s="3">
        <v>43812</v>
      </c>
      <c r="C147" s="3">
        <v>43817</v>
      </c>
      <c r="D147" s="2" t="s">
        <v>94</v>
      </c>
      <c r="E147" s="2" t="s">
        <v>703</v>
      </c>
      <c r="F147" s="2" t="s">
        <v>187</v>
      </c>
      <c r="G147" s="2" t="s">
        <v>13</v>
      </c>
      <c r="H147" s="2" t="s">
        <v>60</v>
      </c>
      <c r="I147" s="2" t="s">
        <v>126</v>
      </c>
      <c r="J147" s="2" t="s">
        <v>127</v>
      </c>
      <c r="K147" s="2">
        <v>10001</v>
      </c>
      <c r="L147" s="2" t="s">
        <v>128</v>
      </c>
      <c r="M147" s="2" t="s">
        <v>704</v>
      </c>
      <c r="N147" s="2" t="s">
        <v>18</v>
      </c>
      <c r="O147" s="2" t="s">
        <v>320</v>
      </c>
      <c r="P147" s="2" t="s">
        <v>705</v>
      </c>
      <c r="Q147" s="4">
        <v>1387.53</v>
      </c>
      <c r="R147" s="5">
        <v>5</v>
      </c>
      <c r="S147" s="6">
        <v>0.3</v>
      </c>
      <c r="T147" s="4">
        <v>-5.14</v>
      </c>
      <c r="U147" s="7">
        <f t="shared" si="8"/>
        <v>-0.00370442440884161</v>
      </c>
      <c r="V147" s="2" t="str">
        <f t="shared" si="9"/>
        <v>High Sales</v>
      </c>
      <c r="W147" t="str">
        <f t="shared" si="10"/>
        <v>Dec</v>
      </c>
      <c r="X147" t="str">
        <f t="shared" si="11"/>
        <v>Q4</v>
      </c>
    </row>
    <row r="148" spans="1:24">
      <c r="A148" s="2" t="s">
        <v>706</v>
      </c>
      <c r="B148" s="3">
        <v>43741</v>
      </c>
      <c r="C148" s="3">
        <v>43744</v>
      </c>
      <c r="D148" s="2" t="s">
        <v>75</v>
      </c>
      <c r="E148" s="2" t="s">
        <v>707</v>
      </c>
      <c r="F148" s="2" t="s">
        <v>163</v>
      </c>
      <c r="G148" s="2" t="s">
        <v>19</v>
      </c>
      <c r="H148" s="2" t="s">
        <v>60</v>
      </c>
      <c r="I148" s="2" t="s">
        <v>61</v>
      </c>
      <c r="J148" s="2" t="s">
        <v>62</v>
      </c>
      <c r="K148" s="2">
        <v>10001</v>
      </c>
      <c r="L148" s="2" t="s">
        <v>17</v>
      </c>
      <c r="M148" s="2" t="s">
        <v>708</v>
      </c>
      <c r="N148" s="2" t="s">
        <v>18</v>
      </c>
      <c r="O148" s="2" t="s">
        <v>110</v>
      </c>
      <c r="P148" s="2" t="s">
        <v>709</v>
      </c>
      <c r="Q148" s="4">
        <v>964.16</v>
      </c>
      <c r="R148" s="5">
        <v>1</v>
      </c>
      <c r="S148" s="6">
        <v>0</v>
      </c>
      <c r="T148" s="4">
        <v>82.9</v>
      </c>
      <c r="U148" s="7">
        <f t="shared" si="8"/>
        <v>0.0859815798207766</v>
      </c>
      <c r="V148" s="2" t="str">
        <f t="shared" si="9"/>
        <v>High Sales</v>
      </c>
      <c r="W148" t="str">
        <f t="shared" si="10"/>
        <v>Oct</v>
      </c>
      <c r="X148" t="str">
        <f t="shared" si="11"/>
        <v>Q4</v>
      </c>
    </row>
    <row r="149" spans="1:24">
      <c r="A149" s="2" t="s">
        <v>710</v>
      </c>
      <c r="B149" s="3">
        <v>43707</v>
      </c>
      <c r="C149" s="3">
        <v>43708</v>
      </c>
      <c r="D149" s="2" t="s">
        <v>133</v>
      </c>
      <c r="E149" s="2" t="s">
        <v>711</v>
      </c>
      <c r="F149" s="2" t="s">
        <v>712</v>
      </c>
      <c r="G149" s="2" t="s">
        <v>13</v>
      </c>
      <c r="H149" s="2" t="s">
        <v>60</v>
      </c>
      <c r="I149" s="2" t="s">
        <v>69</v>
      </c>
      <c r="J149" s="2" t="s">
        <v>70</v>
      </c>
      <c r="K149" s="2">
        <v>10001</v>
      </c>
      <c r="L149" s="2" t="s">
        <v>14</v>
      </c>
      <c r="M149" s="2" t="s">
        <v>713</v>
      </c>
      <c r="N149" s="2" t="s">
        <v>15</v>
      </c>
      <c r="O149" s="2" t="s">
        <v>104</v>
      </c>
      <c r="P149" s="2" t="s">
        <v>430</v>
      </c>
      <c r="Q149" s="4">
        <v>315.19</v>
      </c>
      <c r="R149" s="5">
        <v>5</v>
      </c>
      <c r="S149" s="6">
        <v>0.2</v>
      </c>
      <c r="T149" s="4">
        <v>8.96</v>
      </c>
      <c r="U149" s="7">
        <f t="shared" si="8"/>
        <v>0.0284272978203623</v>
      </c>
      <c r="V149" s="2" t="str">
        <f t="shared" si="9"/>
        <v>Standard Sales</v>
      </c>
      <c r="W149" t="str">
        <f t="shared" si="10"/>
        <v>Aug</v>
      </c>
      <c r="X149" t="str">
        <f t="shared" si="11"/>
        <v>Q3</v>
      </c>
    </row>
    <row r="150" spans="1:24">
      <c r="A150" s="2" t="s">
        <v>714</v>
      </c>
      <c r="B150" s="3">
        <v>43496</v>
      </c>
      <c r="C150" s="3">
        <v>43497</v>
      </c>
      <c r="D150" s="2" t="s">
        <v>133</v>
      </c>
      <c r="E150" s="2" t="s">
        <v>715</v>
      </c>
      <c r="F150" s="2" t="s">
        <v>210</v>
      </c>
      <c r="G150" s="2" t="s">
        <v>19</v>
      </c>
      <c r="H150" s="2" t="s">
        <v>60</v>
      </c>
      <c r="I150" s="2" t="s">
        <v>78</v>
      </c>
      <c r="J150" s="2" t="s">
        <v>79</v>
      </c>
      <c r="K150" s="2">
        <v>10001</v>
      </c>
      <c r="L150" s="2" t="s">
        <v>11</v>
      </c>
      <c r="M150" s="2" t="s">
        <v>716</v>
      </c>
      <c r="N150" s="2" t="s">
        <v>18</v>
      </c>
      <c r="O150" s="2" t="s">
        <v>72</v>
      </c>
      <c r="P150" s="2" t="s">
        <v>717</v>
      </c>
      <c r="Q150" s="4">
        <v>1495.81</v>
      </c>
      <c r="R150" s="5">
        <v>7</v>
      </c>
      <c r="S150" s="6">
        <v>0.3</v>
      </c>
      <c r="T150" s="4">
        <v>-24.17</v>
      </c>
      <c r="U150" s="7">
        <f t="shared" si="8"/>
        <v>-0.0161584693243126</v>
      </c>
      <c r="V150" s="2" t="str">
        <f t="shared" si="9"/>
        <v>High Sales</v>
      </c>
      <c r="W150" t="str">
        <f t="shared" si="10"/>
        <v>Jan</v>
      </c>
      <c r="X150" t="str">
        <f t="shared" si="11"/>
        <v>Q1</v>
      </c>
    </row>
    <row r="151" spans="1:24">
      <c r="A151" s="2" t="s">
        <v>718</v>
      </c>
      <c r="B151" s="3">
        <v>43614</v>
      </c>
      <c r="C151" s="3">
        <v>43615</v>
      </c>
      <c r="D151" s="2" t="s">
        <v>57</v>
      </c>
      <c r="E151" s="2" t="s">
        <v>719</v>
      </c>
      <c r="F151" s="2" t="s">
        <v>178</v>
      </c>
      <c r="G151" s="2" t="s">
        <v>19</v>
      </c>
      <c r="H151" s="2" t="s">
        <v>60</v>
      </c>
      <c r="I151" s="2" t="s">
        <v>78</v>
      </c>
      <c r="J151" s="2" t="s">
        <v>79</v>
      </c>
      <c r="K151" s="2">
        <v>10001</v>
      </c>
      <c r="L151" s="2" t="s">
        <v>11</v>
      </c>
      <c r="M151" s="2" t="s">
        <v>720</v>
      </c>
      <c r="N151" s="2" t="s">
        <v>12</v>
      </c>
      <c r="O151" s="2" t="s">
        <v>81</v>
      </c>
      <c r="P151" s="2" t="s">
        <v>721</v>
      </c>
      <c r="Q151" s="4">
        <v>824.08</v>
      </c>
      <c r="R151" s="5">
        <v>8</v>
      </c>
      <c r="S151" s="6">
        <v>0.1</v>
      </c>
      <c r="T151" s="4">
        <v>233.2</v>
      </c>
      <c r="U151" s="7">
        <f t="shared" si="8"/>
        <v>0.282982234734492</v>
      </c>
      <c r="V151" s="2" t="str">
        <f t="shared" si="9"/>
        <v>High Sales</v>
      </c>
      <c r="W151" t="str">
        <f t="shared" si="10"/>
        <v>May</v>
      </c>
      <c r="X151" t="str">
        <f t="shared" si="11"/>
        <v>Q2</v>
      </c>
    </row>
  </sheetData>
  <autoFilter xmlns:etc="http://www.wps.cn/officeDocument/2017/etCustomData" ref="A1:X1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Pivot_Tables</vt:lpstr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ADHM Deabs</cp:lastModifiedBy>
  <dcterms:created xsi:type="dcterms:W3CDTF">2026-08-14T10:37:00Z</dcterms:created>
  <dcterms:modified xsi:type="dcterms:W3CDTF">2026-08-14T13:38:14Z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0FC377D5474A48EBA4E91EF831B0C2ED_13</vt:lpwstr>
  </property>
</Properties>
</file>